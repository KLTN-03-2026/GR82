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cuulich\docs\"/>
    </mc:Choice>
  </mc:AlternateContent>
  <xr:revisionPtr revIDLastSave="0" documentId="13_ncr:1_{232DD392-F6BD-4D69-AE03-9060E34B4EA0}" xr6:coauthVersionLast="47" xr6:coauthVersionMax="47" xr10:uidLastSave="{00000000-0000-0000-0000-000000000000}"/>
  <bookViews>
    <workbookView xWindow="-108" yWindow="-108" windowWidth="23256" windowHeight="12456" xr2:uid="{28CB525A-34A0-4114-8308-F5551635019B}"/>
  </bookViews>
  <sheets>
    <sheet name="Sprint 1" sheetId="1" r:id="rId1"/>
    <sheet name="Sprint 2" sheetId="2" r:id="rId2"/>
    <sheet name="Sprin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33" i="3" l="1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G126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G65" i="3"/>
  <c r="E12" i="3"/>
  <c r="D12" i="3"/>
  <c r="E11" i="3"/>
  <c r="D11" i="3"/>
  <c r="E10" i="3"/>
  <c r="D10" i="3"/>
  <c r="E9" i="3"/>
  <c r="D9" i="3"/>
  <c r="E8" i="3"/>
  <c r="D8" i="3"/>
  <c r="G204" i="1"/>
  <c r="G203" i="1"/>
  <c r="E9" i="2"/>
  <c r="E10" i="2"/>
  <c r="E11" i="2"/>
  <c r="E12" i="2"/>
  <c r="D9" i="2"/>
  <c r="D8" i="2"/>
  <c r="D10" i="2"/>
  <c r="D11" i="2"/>
  <c r="D12" i="2"/>
  <c r="E8" i="2"/>
  <c r="AC65" i="2"/>
  <c r="D9" i="1"/>
  <c r="D10" i="1"/>
  <c r="D11" i="1"/>
  <c r="D12" i="1"/>
  <c r="E8" i="1"/>
  <c r="D8" i="1"/>
  <c r="E9" i="1"/>
  <c r="E10" i="1"/>
  <c r="E11" i="1"/>
  <c r="E12" i="1"/>
  <c r="AA203" i="1"/>
  <c r="AA96" i="1"/>
  <c r="Y203" i="1"/>
  <c r="J126" i="2"/>
  <c r="G126" i="2"/>
  <c r="I126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I132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I133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I194" i="1"/>
  <c r="G194" i="1"/>
  <c r="AA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B65" i="2"/>
  <c r="I65" i="2"/>
  <c r="V96" i="1"/>
  <c r="I96" i="1"/>
  <c r="G65" i="2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Z203" i="1"/>
  <c r="G96" i="1"/>
  <c r="N96" i="1"/>
  <c r="O96" i="1"/>
  <c r="P96" i="1"/>
  <c r="Q96" i="1"/>
  <c r="R96" i="1"/>
  <c r="S96" i="1"/>
  <c r="T96" i="1"/>
  <c r="U96" i="1"/>
  <c r="W96" i="1"/>
  <c r="X96" i="1"/>
  <c r="Y96" i="1"/>
  <c r="Z96" i="1"/>
  <c r="AB96" i="1"/>
  <c r="AC96" i="1"/>
  <c r="M96" i="1"/>
  <c r="L96" i="1"/>
  <c r="K96" i="1"/>
  <c r="J96" i="1"/>
  <c r="E13" i="3" l="1"/>
  <c r="D13" i="3"/>
  <c r="D13" i="1"/>
  <c r="E13" i="1"/>
  <c r="E13" i="2"/>
  <c r="D13" i="2"/>
</calcChain>
</file>

<file path=xl/sharedStrings.xml><?xml version="1.0" encoding="utf-8"?>
<sst xmlns="http://schemas.openxmlformats.org/spreadsheetml/2006/main" count="856" uniqueCount="193">
  <si>
    <t>Project name: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</si>
  <si>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</si>
  <si>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</si>
  <si>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</si>
  <si>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</si>
  <si>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</si>
  <si>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</si>
  <si>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</si>
  <si>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</si>
  <si>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</si>
  <si>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</si>
  <si>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</si>
  <si>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</si>
  <si>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Tổng</t>
  </si>
  <si>
    <t>Sprint</t>
  </si>
  <si>
    <t>Compoment</t>
  </si>
  <si>
    <t>Task name</t>
  </si>
  <si>
    <t>Responsible Member</t>
  </si>
  <si>
    <t>Họp kế hoạch Sprint</t>
  </si>
  <si>
    <t>Tạo Sprint Backlog 1</t>
  </si>
  <si>
    <t>Tạo tài liệu kiểm thử cho Sprint</t>
  </si>
  <si>
    <t>User interface design</t>
  </si>
  <si>
    <t>Design test case</t>
  </si>
  <si>
    <t>Coding</t>
  </si>
  <si>
    <t>Testing</t>
  </si>
  <si>
    <t>Fix Bug</t>
  </si>
  <si>
    <t>Re-testing</t>
  </si>
  <si>
    <t>Release Sprint 1</t>
  </si>
  <si>
    <t>Sprint 1 review meeting</t>
  </si>
  <si>
    <t>Sprint 1 retrospective</t>
  </si>
  <si>
    <t>Sprint 2</t>
  </si>
  <si>
    <t>Thiết kế trang quản lý người dùng</t>
  </si>
  <si>
    <t>Review code</t>
  </si>
  <si>
    <t>Review giao diện</t>
  </si>
  <si>
    <t>All Team</t>
  </si>
  <si>
    <t>Test trang chủ</t>
  </si>
  <si>
    <t>Test trang đăng ký</t>
  </si>
  <si>
    <t>Test trang đăng nhập</t>
  </si>
  <si>
    <t>Fix bug trang chủ</t>
  </si>
  <si>
    <t>Fix bug trang đăng ký</t>
  </si>
  <si>
    <t>Fix bug trang đăng nhập</t>
  </si>
  <si>
    <t>Re-Test trang chủ</t>
  </si>
  <si>
    <t>Tạo Sprint Backlog 2</t>
  </si>
  <si>
    <t>Release Sprint 2</t>
  </si>
  <si>
    <t>Thiết kế trang lấy lại mật khẩu</t>
  </si>
  <si>
    <t>Review tất cả giao diện</t>
  </si>
  <si>
    <t>Thiết kế cơ sở dữ liệu</t>
  </si>
  <si>
    <t>Họp review Sprint 2</t>
  </si>
  <si>
    <t>Nhìn lại và rút ra bài học từ Sprint2</t>
  </si>
  <si>
    <t>Thiết kế cơ sở dữ liêu</t>
  </si>
  <si>
    <t>Tại tài liệu Database</t>
  </si>
  <si>
    <t>SPRINT 2 REPORT</t>
  </si>
  <si>
    <t>Xây dựng website Ebook - Kinh doanh và đọc sách online</t>
  </si>
  <si>
    <t>Trung</t>
  </si>
  <si>
    <t>My, Vương</t>
  </si>
  <si>
    <t xml:space="preserve">Thiết kế trang Đăng ký </t>
  </si>
  <si>
    <t>Thiết kế trang Đăng nhập</t>
  </si>
  <si>
    <t>Thiết kế trang Thông tin cá nhân</t>
  </si>
  <si>
    <t>Thiết kế trang Thanh toán đơn hàng</t>
  </si>
  <si>
    <t>Tùng</t>
  </si>
  <si>
    <t>Vương</t>
  </si>
  <si>
    <t>My</t>
  </si>
  <si>
    <t>Tập</t>
  </si>
  <si>
    <t>Thiết kế trang Chi tiết đơn hàng đã mua</t>
  </si>
  <si>
    <t xml:space="preserve">Thiết kế trang Quản lý đơn hàng </t>
  </si>
  <si>
    <t xml:space="preserve">Thiết kế trang Đọc sách trực tuyến </t>
  </si>
  <si>
    <t>Thiết kế Trang chủ,Thanh toán</t>
  </si>
  <si>
    <t>Thiết kế trang Danh sách sách</t>
  </si>
  <si>
    <t>Thiết kế trang Quản lý sách (CRUD admin)</t>
  </si>
  <si>
    <t>Thiết kế trang Lịch sử mua hàng</t>
  </si>
  <si>
    <t>Thiết kế trang Tìm kiếm sách</t>
  </si>
  <si>
    <t>Thiết kế test case Tìm kiếm sách</t>
  </si>
  <si>
    <t>Thiết kế test case Lịch sử mua hàng</t>
  </si>
  <si>
    <t>Thiết kế test case Thông tin cá nhân</t>
  </si>
  <si>
    <t>Thiết kế test case Quản lý đơn hàng</t>
  </si>
  <si>
    <t>Thiết kế test case đăng ký</t>
  </si>
  <si>
    <t>Thiết kế test case Đăng nhập</t>
  </si>
  <si>
    <t>Thiết kế test case  trang chủ</t>
  </si>
  <si>
    <t>Thiết kế test case Quản lý người dùng</t>
  </si>
  <si>
    <t>Thiết kế test case Thanh toán</t>
  </si>
  <si>
    <t>Thiết kế test case Quản lý Đơn hàng</t>
  </si>
  <si>
    <t>Thiết kế test case Danh sách sách</t>
  </si>
  <si>
    <t>Thiết kế test case Đọc sách online</t>
  </si>
  <si>
    <t>Code Thông tin cá nhân</t>
  </si>
  <si>
    <t>Code Đọc sách trực tuyến</t>
  </si>
  <si>
    <t>Coding (FE &amp; BE)</t>
  </si>
  <si>
    <t>Code Lịch sử mua hàng</t>
  </si>
  <si>
    <t xml:space="preserve">Code Đăng ký </t>
  </si>
  <si>
    <t>Code Đăng nhập</t>
  </si>
  <si>
    <t>Code Thanh toán</t>
  </si>
  <si>
    <t>Code Đơn hàng người dùng</t>
  </si>
  <si>
    <t xml:space="preserve">Code Tìm kiếm </t>
  </si>
  <si>
    <t>Code Trang chủ</t>
  </si>
  <si>
    <t>Code Quản lý sách</t>
  </si>
  <si>
    <t xml:space="preserve">Code Danh sách sách </t>
  </si>
  <si>
    <t>Test trang Lịch sử mua hàng</t>
  </si>
  <si>
    <t>Test trang Tìm kiếm sách</t>
  </si>
  <si>
    <t xml:space="preserve">Test trang thanh toán đơn hàng </t>
  </si>
  <si>
    <t>Test trang Quản lý người dùng</t>
  </si>
  <si>
    <t>Test trang Đọc sách</t>
  </si>
  <si>
    <t>Test trang quản lý sách</t>
  </si>
  <si>
    <t>Test trang quản lý đơn hàng</t>
  </si>
  <si>
    <t>Test trang thông tin cá nhân</t>
  </si>
  <si>
    <t>Test trang xem danh sách sách</t>
  </si>
  <si>
    <t>Fix bug trang Tìm kiếm sách</t>
  </si>
  <si>
    <t>Fix bug trang Lịch sử mua hàng</t>
  </si>
  <si>
    <t xml:space="preserve">Fix bug thanh toán đơn hàng </t>
  </si>
  <si>
    <t>Fix bug Quản lý người dùng</t>
  </si>
  <si>
    <t>Fix bug trang Đọc sách</t>
  </si>
  <si>
    <t>Fix bug trang quản lý sách</t>
  </si>
  <si>
    <t>Fix bug trang quản lý đơn hàng</t>
  </si>
  <si>
    <t>Fix bug trang thông tin cá nhân</t>
  </si>
  <si>
    <t>Fix bug trang xem danh sách sách</t>
  </si>
  <si>
    <t xml:space="preserve">Tập </t>
  </si>
  <si>
    <t>Re-Test trang Tìm kiếm sách</t>
  </si>
  <si>
    <t>Re-Test trang Lịch sử mua hàng</t>
  </si>
  <si>
    <t xml:space="preserve">Re-Test thanh toán đơn hàng </t>
  </si>
  <si>
    <t>Re-Test Quản lý người dùng</t>
  </si>
  <si>
    <t>Re-Test trang Đọc sách</t>
  </si>
  <si>
    <t>Re-Test trang quản lý sách</t>
  </si>
  <si>
    <t>Re-Test trang quản lý đơn hàng</t>
  </si>
  <si>
    <t>Re-Test trang thông tin cá nhân</t>
  </si>
  <si>
    <t>Re-Test trang xem danh sách sách</t>
  </si>
  <si>
    <t>31/11/2025</t>
  </si>
  <si>
    <t>20/11/2025</t>
  </si>
  <si>
    <t>Võ Ngọc Trung</t>
  </si>
  <si>
    <t>Lê Tấn Tập</t>
  </si>
  <si>
    <t>Nguyễn Thanh Tùng</t>
  </si>
  <si>
    <t>Lê Văn Vương</t>
  </si>
  <si>
    <t>Trần Ngô Trà My</t>
  </si>
  <si>
    <t>21/11/2025</t>
  </si>
  <si>
    <t>My,Vương</t>
  </si>
  <si>
    <t>Trung, Tập</t>
  </si>
  <si>
    <t>Thiết kế Dashboard quản trị</t>
  </si>
  <si>
    <t>Thiết kế Quản lý người dùng</t>
  </si>
  <si>
    <t>Thiết kế Trang Báo cáo doanh thu</t>
  </si>
  <si>
    <t>Thiết kế Trang Thống kê sách bán chạy</t>
  </si>
  <si>
    <t>Thiết kế Trang Chi tiết sách</t>
  </si>
  <si>
    <t>Thiết kế Trang Quản lý đơn hàng</t>
  </si>
  <si>
    <t>Thiết kế Trang Đánh giá đơn hàng đã mua</t>
  </si>
  <si>
    <t>Thiết kế Trang Giới thiệu Webebook</t>
  </si>
  <si>
    <t>Thiết kế Trang Quản lý Tủ sách cá nhân</t>
  </si>
  <si>
    <t>Thiết kế test case Xem chi tiết đơn hàng đã mua</t>
  </si>
  <si>
    <t>Thiết kế test case Báo cáo doanh thu</t>
  </si>
  <si>
    <t>Thiết kế test case trang Quên mật khẩu</t>
  </si>
  <si>
    <t>Thiết kế test case trang Chi tiết sách</t>
  </si>
  <si>
    <t>Thiết kế test case Quản lý đánh giá</t>
  </si>
  <si>
    <t>Thiết kế test case tủ sách cá nhân</t>
  </si>
  <si>
    <t>Code FE Bảng điều khiển (Dashboard )</t>
  </si>
  <si>
    <t>Code FE, BE trang Quản lý người dùng</t>
  </si>
  <si>
    <t xml:space="preserve">Code FE, BE trang Báo cáo doanh thu </t>
  </si>
  <si>
    <t>Code FE, BE trang  Thống kê sách bán chạy</t>
  </si>
  <si>
    <t xml:space="preserve">Code FE, BE trang Chi tiết sách </t>
  </si>
  <si>
    <t>Code FE, BE trang Quên mật khẩu</t>
  </si>
  <si>
    <t>Test Xem chi tiết đơn hàng đã mua</t>
  </si>
  <si>
    <t>Test Báo cáo doanh thu</t>
  </si>
  <si>
    <t>Test trang Quên mật khẩu</t>
  </si>
  <si>
    <t>Test trang Chi tiết sách</t>
  </si>
  <si>
    <t>Test Quản lý đánh giá</t>
  </si>
  <si>
    <t>Test tủ sách cá nhân</t>
  </si>
  <si>
    <t>Fix bug Xem chi tiết đơn hàng đã mua</t>
  </si>
  <si>
    <t>Fix bug Báo cáo doanh thu</t>
  </si>
  <si>
    <t>Fix bug trang Quên mật khẩu</t>
  </si>
  <si>
    <t>Fix bug trang Chi tiết sách</t>
  </si>
  <si>
    <t>Fix bug Quản lý đánh giá</t>
  </si>
  <si>
    <t>Fix bug tủ sách cá nhân</t>
  </si>
  <si>
    <t>Re-test Xem chi tiết đơn hàng đã mua</t>
  </si>
  <si>
    <t>Re-test Báo cáo doanh thu</t>
  </si>
  <si>
    <t>Re-test trang Quên mật khẩu</t>
  </si>
  <si>
    <t>Re-test trang Chi tiết sách</t>
  </si>
  <si>
    <t>Re-test Quản lý đánh giá</t>
  </si>
  <si>
    <t>Re-test tủ sách cá nhân</t>
  </si>
  <si>
    <t>Sprint 3</t>
  </si>
  <si>
    <t>Thiết kế trang Đăng Xuất</t>
  </si>
  <si>
    <t>Nam, Hà, Hằng</t>
  </si>
  <si>
    <t>Thiết kế trang Quản lý thông tin cá nhân</t>
  </si>
  <si>
    <t>Thiết kế trang Đổi mật khẩu</t>
  </si>
  <si>
    <t>Thiết kế trang Quản lý người dùng</t>
  </si>
  <si>
    <t>Thiết kế trang Thêm người dùng</t>
  </si>
  <si>
    <t>Thiết kế trang Cập nhật quyền người dùng</t>
  </si>
  <si>
    <t>Thiết kế trang Xoá người dùng</t>
  </si>
  <si>
    <t>Review of Sprint 1 UI</t>
  </si>
  <si>
    <t>Nam</t>
  </si>
  <si>
    <t>Hà</t>
  </si>
  <si>
    <t>Hằng</t>
  </si>
  <si>
    <t>Thiết kế test case Đăng xuất</t>
  </si>
  <si>
    <t>Thiết kế test case Quản lý thông tin cá nhân</t>
  </si>
  <si>
    <t>Thiết kế test case  Đổi mật khẩu</t>
  </si>
  <si>
    <t>Thiết kế test case Thêm người dùng</t>
  </si>
  <si>
    <t>Thiết kế test case Cập nhật quyền người dùng</t>
  </si>
  <si>
    <t>Thiết kế test case Xóa người dùng</t>
  </si>
  <si>
    <t>Review all test cases of Sprint 1</t>
  </si>
  <si>
    <t>Code Front-End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</si>
</sst>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1" fillId="3" borderId="1" xfId="0" applyFont="1" applyFill="1" applyBorder="1"/>
    <xf numFmtId="0" fontId="2" fillId="2" borderId="1" xfId="0" applyFont="1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4" fillId="5" borderId="1" xfId="0" applyFont="1" applyFill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/>
    </xf>
    <xf numFmtId="0" fontId="4" fillId="0" borderId="0" xfId="0" applyFont="1"/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1" fillId="0" borderId="1" xfId="0" applyFont="1" applyBorder="1"/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textRotation="90" wrapText="1"/>
    </xf>
    <xf numFmtId="164" fontId="1" fillId="0" borderId="1" xfId="0" applyNumberFormat="1" applyFont="1" applyBorder="1" applyAlignment="1">
      <alignment vertical="center" textRotation="90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7" borderId="1" xfId="0" applyFont="1" applyFill="1" applyBorder="1"/>
    <xf numFmtId="0" fontId="2" fillId="8" borderId="1" xfId="0" applyFont="1" applyFill="1" applyBorder="1"/>
    <xf numFmtId="0" fontId="4" fillId="6" borderId="1" xfId="0" applyFont="1" applyFill="1" applyBorder="1" applyAlignment="1">
      <alignment horizontal="right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2200" b="1">
                <a:latin typeface="Times New Roman" panose="02020603050405020304" pitchFamily="18" charset="0"/>
                <a:cs typeface="Times New Roman" panose="02020603050405020304" pitchFamily="18" charset="0"/>
              </a:rPr>
              <a:t>Sprint 1</a:t>
            </a:r>
            <a:endParaRPr lang="en-US" sz="2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708134803466016E-2"/>
          <c:y val="8.824262118991813E-2"/>
          <c:w val="0.95724230425875811"/>
          <c:h val="0.86520624666627155"/>
        </c:manualLayout>
      </c:layout>
      <c:lineChart>
        <c:grouping val="standard"/>
        <c:varyColors val="0"/>
        <c:ser>
          <c:idx val="0"/>
          <c:order val="0"/>
          <c:tx>
            <c:v>Ước tính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1'!$G$202:$AC$202</c:f>
              <c:numCache>
                <c:formatCode>dd/mm</c:formatCode>
                <c:ptCount val="23"/>
                <c:pt idx="0">
                  <c:v>45961</c:v>
                </c:pt>
                <c:pt idx="1">
                  <c:v>45962</c:v>
                </c:pt>
                <c:pt idx="2">
                  <c:v>45963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  <c:pt idx="7">
                  <c:v>45968</c:v>
                </c:pt>
                <c:pt idx="8">
                  <c:v>45969</c:v>
                </c:pt>
                <c:pt idx="9">
                  <c:v>45970</c:v>
                </c:pt>
                <c:pt idx="10">
                  <c:v>45971</c:v>
                </c:pt>
                <c:pt idx="11">
                  <c:v>45972</c:v>
                </c:pt>
                <c:pt idx="12">
                  <c:v>45973</c:v>
                </c:pt>
                <c:pt idx="13">
                  <c:v>45974</c:v>
                </c:pt>
                <c:pt idx="14">
                  <c:v>45975</c:v>
                </c:pt>
                <c:pt idx="15">
                  <c:v>45976</c:v>
                </c:pt>
                <c:pt idx="16">
                  <c:v>45977</c:v>
                </c:pt>
                <c:pt idx="17">
                  <c:v>45978</c:v>
                </c:pt>
                <c:pt idx="18">
                  <c:v>45979</c:v>
                </c:pt>
                <c:pt idx="19">
                  <c:v>45980</c:v>
                </c:pt>
                <c:pt idx="20">
                  <c:v>45981</c:v>
                </c:pt>
              </c:numCache>
            </c:numRef>
          </c:cat>
          <c:val>
            <c:numRef>
              <c:f>'Sprint 1'!$G$203:$AC$203</c:f>
              <c:numCache>
                <c:formatCode>General</c:formatCode>
                <c:ptCount val="23"/>
                <c:pt idx="0">
                  <c:v>255</c:v>
                </c:pt>
                <c:pt idx="1">
                  <c:v>238</c:v>
                </c:pt>
                <c:pt idx="2">
                  <c:v>230</c:v>
                </c:pt>
                <c:pt idx="3">
                  <c:v>220</c:v>
                </c:pt>
                <c:pt idx="4">
                  <c:v>208</c:v>
                </c:pt>
                <c:pt idx="5">
                  <c:v>199</c:v>
                </c:pt>
                <c:pt idx="6">
                  <c:v>196</c:v>
                </c:pt>
                <c:pt idx="7">
                  <c:v>186</c:v>
                </c:pt>
                <c:pt idx="8">
                  <c:v>169</c:v>
                </c:pt>
                <c:pt idx="9">
                  <c:v>158</c:v>
                </c:pt>
                <c:pt idx="10">
                  <c:v>142</c:v>
                </c:pt>
                <c:pt idx="11">
                  <c:v>121</c:v>
                </c:pt>
                <c:pt idx="12">
                  <c:v>107</c:v>
                </c:pt>
                <c:pt idx="13">
                  <c:v>95</c:v>
                </c:pt>
                <c:pt idx="14">
                  <c:v>86</c:v>
                </c:pt>
                <c:pt idx="15">
                  <c:v>75</c:v>
                </c:pt>
                <c:pt idx="16">
                  <c:v>66</c:v>
                </c:pt>
                <c:pt idx="17">
                  <c:v>47</c:v>
                </c:pt>
                <c:pt idx="18">
                  <c:v>32</c:v>
                </c:pt>
                <c:pt idx="19">
                  <c:v>20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E-4072-B267-E1955CA6FDD1}"/>
            </c:ext>
          </c:extLst>
        </c:ser>
        <c:ser>
          <c:idx val="1"/>
          <c:order val="1"/>
          <c:tx>
            <c:v>Thực tế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1'!$G$204:$AC$204</c:f>
              <c:numCache>
                <c:formatCode>General</c:formatCode>
                <c:ptCount val="23"/>
                <c:pt idx="0">
                  <c:v>242</c:v>
                </c:pt>
                <c:pt idx="1">
                  <c:v>222</c:v>
                </c:pt>
                <c:pt idx="2">
                  <c:v>209</c:v>
                </c:pt>
                <c:pt idx="3">
                  <c:v>202</c:v>
                </c:pt>
                <c:pt idx="4">
                  <c:v>192</c:v>
                </c:pt>
                <c:pt idx="5">
                  <c:v>180</c:v>
                </c:pt>
                <c:pt idx="6">
                  <c:v>173</c:v>
                </c:pt>
                <c:pt idx="7">
                  <c:v>165</c:v>
                </c:pt>
                <c:pt idx="8">
                  <c:v>156</c:v>
                </c:pt>
                <c:pt idx="9">
                  <c:v>141</c:v>
                </c:pt>
                <c:pt idx="10">
                  <c:v>124</c:v>
                </c:pt>
                <c:pt idx="11">
                  <c:v>108</c:v>
                </c:pt>
                <c:pt idx="12">
                  <c:v>95</c:v>
                </c:pt>
                <c:pt idx="13">
                  <c:v>86</c:v>
                </c:pt>
                <c:pt idx="14">
                  <c:v>71</c:v>
                </c:pt>
                <c:pt idx="15">
                  <c:v>66</c:v>
                </c:pt>
                <c:pt idx="16">
                  <c:v>56</c:v>
                </c:pt>
                <c:pt idx="17">
                  <c:v>46</c:v>
                </c:pt>
                <c:pt idx="18">
                  <c:v>26</c:v>
                </c:pt>
                <c:pt idx="19">
                  <c:v>12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5E-4072-B267-E1955CA6F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82815"/>
        <c:axId val="153689887"/>
      </c:lineChart>
      <c:dateAx>
        <c:axId val="153682815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89887"/>
        <c:crosses val="autoZero"/>
        <c:auto val="1"/>
        <c:lblOffset val="100"/>
        <c:baseTimeUnit val="days"/>
      </c:dateAx>
      <c:valAx>
        <c:axId val="153689887"/>
        <c:scaling>
          <c:orientation val="minMax"/>
          <c:max val="3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2200" b="1">
                <a:latin typeface="Times New Roman" panose="02020603050405020304" pitchFamily="18" charset="0"/>
                <a:cs typeface="Times New Roman" panose="02020603050405020304" pitchFamily="18" charset="0"/>
              </a:rPr>
              <a:t>Sprint </a:t>
            </a:r>
            <a:r>
              <a:rPr lang="en-US" sz="2200" b="1"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763008755441939E-2"/>
          <c:y val="0.10539239800980386"/>
          <c:w val="0.95724230425875811"/>
          <c:h val="0.79336210785733041"/>
        </c:manualLayout>
      </c:layout>
      <c:lineChart>
        <c:grouping val="standard"/>
        <c:varyColors val="0"/>
        <c:ser>
          <c:idx val="0"/>
          <c:order val="0"/>
          <c:tx>
            <c:v>Ước tính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2'!$I$131:$AB$131</c:f>
              <c:numCache>
                <c:formatCode>dd/mm</c:formatCode>
                <c:ptCount val="20"/>
                <c:pt idx="0">
                  <c:v>45768</c:v>
                </c:pt>
                <c:pt idx="1">
                  <c:v>45769</c:v>
                </c:pt>
                <c:pt idx="2">
                  <c:v>45770</c:v>
                </c:pt>
                <c:pt idx="3">
                  <c:v>45771</c:v>
                </c:pt>
                <c:pt idx="4">
                  <c:v>45772</c:v>
                </c:pt>
                <c:pt idx="5">
                  <c:v>45773</c:v>
                </c:pt>
                <c:pt idx="6">
                  <c:v>45774</c:v>
                </c:pt>
                <c:pt idx="7">
                  <c:v>45775</c:v>
                </c:pt>
                <c:pt idx="8">
                  <c:v>45776</c:v>
                </c:pt>
                <c:pt idx="9">
                  <c:v>45777</c:v>
                </c:pt>
                <c:pt idx="10">
                  <c:v>45778</c:v>
                </c:pt>
                <c:pt idx="11">
                  <c:v>45779</c:v>
                </c:pt>
                <c:pt idx="12">
                  <c:v>45780</c:v>
                </c:pt>
                <c:pt idx="13">
                  <c:v>45781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45787</c:v>
                </c:pt>
              </c:numCache>
            </c:numRef>
          </c:cat>
          <c:val>
            <c:numRef>
              <c:f>'Sprint 2'!$I$132:$AB$132</c:f>
              <c:numCache>
                <c:formatCode>General</c:formatCode>
                <c:ptCount val="20"/>
                <c:pt idx="0">
                  <c:v>253</c:v>
                </c:pt>
                <c:pt idx="1">
                  <c:v>248</c:v>
                </c:pt>
                <c:pt idx="2">
                  <c:v>233</c:v>
                </c:pt>
                <c:pt idx="3">
                  <c:v>216</c:v>
                </c:pt>
                <c:pt idx="4">
                  <c:v>204</c:v>
                </c:pt>
                <c:pt idx="5">
                  <c:v>194</c:v>
                </c:pt>
                <c:pt idx="6">
                  <c:v>189</c:v>
                </c:pt>
                <c:pt idx="7">
                  <c:v>181</c:v>
                </c:pt>
                <c:pt idx="8">
                  <c:v>177</c:v>
                </c:pt>
                <c:pt idx="9">
                  <c:v>153</c:v>
                </c:pt>
                <c:pt idx="10">
                  <c:v>139</c:v>
                </c:pt>
                <c:pt idx="11">
                  <c:v>123</c:v>
                </c:pt>
                <c:pt idx="12">
                  <c:v>107</c:v>
                </c:pt>
                <c:pt idx="13">
                  <c:v>95</c:v>
                </c:pt>
                <c:pt idx="14">
                  <c:v>80</c:v>
                </c:pt>
                <c:pt idx="15">
                  <c:v>72</c:v>
                </c:pt>
                <c:pt idx="16">
                  <c:v>60</c:v>
                </c:pt>
                <c:pt idx="17">
                  <c:v>37</c:v>
                </c:pt>
                <c:pt idx="18">
                  <c:v>14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F-49F6-B667-E5D8AA203DD9}"/>
            </c:ext>
          </c:extLst>
        </c:ser>
        <c:ser>
          <c:idx val="1"/>
          <c:order val="1"/>
          <c:tx>
            <c:v>Thực tế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2'!$I$131:$AB$131</c:f>
              <c:numCache>
                <c:formatCode>dd/mm</c:formatCode>
                <c:ptCount val="20"/>
                <c:pt idx="0">
                  <c:v>45768</c:v>
                </c:pt>
                <c:pt idx="1">
                  <c:v>45769</c:v>
                </c:pt>
                <c:pt idx="2">
                  <c:v>45770</c:v>
                </c:pt>
                <c:pt idx="3">
                  <c:v>45771</c:v>
                </c:pt>
                <c:pt idx="4">
                  <c:v>45772</c:v>
                </c:pt>
                <c:pt idx="5">
                  <c:v>45773</c:v>
                </c:pt>
                <c:pt idx="6">
                  <c:v>45774</c:v>
                </c:pt>
                <c:pt idx="7">
                  <c:v>45775</c:v>
                </c:pt>
                <c:pt idx="8">
                  <c:v>45776</c:v>
                </c:pt>
                <c:pt idx="9">
                  <c:v>45777</c:v>
                </c:pt>
                <c:pt idx="10">
                  <c:v>45778</c:v>
                </c:pt>
                <c:pt idx="11">
                  <c:v>45779</c:v>
                </c:pt>
                <c:pt idx="12">
                  <c:v>45780</c:v>
                </c:pt>
                <c:pt idx="13">
                  <c:v>45781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45787</c:v>
                </c:pt>
              </c:numCache>
            </c:numRef>
          </c:cat>
          <c:val>
            <c:numRef>
              <c:f>'Sprint 2'!$I$133:$AB$133</c:f>
              <c:numCache>
                <c:formatCode>General</c:formatCode>
                <c:ptCount val="20"/>
                <c:pt idx="0">
                  <c:v>249</c:v>
                </c:pt>
                <c:pt idx="1">
                  <c:v>238</c:v>
                </c:pt>
                <c:pt idx="2">
                  <c:v>223</c:v>
                </c:pt>
                <c:pt idx="3">
                  <c:v>211</c:v>
                </c:pt>
                <c:pt idx="4">
                  <c:v>202</c:v>
                </c:pt>
                <c:pt idx="5">
                  <c:v>187</c:v>
                </c:pt>
                <c:pt idx="6">
                  <c:v>182</c:v>
                </c:pt>
                <c:pt idx="7">
                  <c:v>169</c:v>
                </c:pt>
                <c:pt idx="8">
                  <c:v>157</c:v>
                </c:pt>
                <c:pt idx="9">
                  <c:v>138</c:v>
                </c:pt>
                <c:pt idx="10">
                  <c:v>119</c:v>
                </c:pt>
                <c:pt idx="11">
                  <c:v>103</c:v>
                </c:pt>
                <c:pt idx="12">
                  <c:v>94</c:v>
                </c:pt>
                <c:pt idx="13">
                  <c:v>85</c:v>
                </c:pt>
                <c:pt idx="14">
                  <c:v>75</c:v>
                </c:pt>
                <c:pt idx="15">
                  <c:v>66</c:v>
                </c:pt>
                <c:pt idx="16">
                  <c:v>51</c:v>
                </c:pt>
                <c:pt idx="17">
                  <c:v>32</c:v>
                </c:pt>
                <c:pt idx="18">
                  <c:v>13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F-49F6-B667-E5D8AA203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82815"/>
        <c:axId val="153689887"/>
      </c:lineChart>
      <c:dateAx>
        <c:axId val="153682815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89887"/>
        <c:crosses val="autoZero"/>
        <c:auto val="1"/>
        <c:lblOffset val="100"/>
        <c:baseTimeUnit val="days"/>
      </c:dateAx>
      <c:valAx>
        <c:axId val="153689887"/>
        <c:scaling>
          <c:orientation val="minMax"/>
          <c:max val="3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2200" b="1">
                <a:latin typeface="Times New Roman" panose="02020603050405020304" pitchFamily="18" charset="0"/>
                <a:cs typeface="Times New Roman" panose="02020603050405020304" pitchFamily="18" charset="0"/>
              </a:rPr>
              <a:t>Sprint </a:t>
            </a:r>
            <a:r>
              <a:rPr lang="en-US" sz="2200" b="1"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763008755441939E-2"/>
          <c:y val="0.10539239800980386"/>
          <c:w val="0.95724230425875811"/>
          <c:h val="0.79336210785733041"/>
        </c:manualLayout>
      </c:layout>
      <c:lineChart>
        <c:grouping val="standard"/>
        <c:varyColors val="0"/>
        <c:ser>
          <c:idx val="0"/>
          <c:order val="0"/>
          <c:tx>
            <c:v>Ước tính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2'!$I$131:$AB$131</c:f>
              <c:numCache>
                <c:formatCode>dd/mm</c:formatCode>
                <c:ptCount val="20"/>
                <c:pt idx="0">
                  <c:v>45768</c:v>
                </c:pt>
                <c:pt idx="1">
                  <c:v>45769</c:v>
                </c:pt>
                <c:pt idx="2">
                  <c:v>45770</c:v>
                </c:pt>
                <c:pt idx="3">
                  <c:v>45771</c:v>
                </c:pt>
                <c:pt idx="4">
                  <c:v>45772</c:v>
                </c:pt>
                <c:pt idx="5">
                  <c:v>45773</c:v>
                </c:pt>
                <c:pt idx="6">
                  <c:v>45774</c:v>
                </c:pt>
                <c:pt idx="7">
                  <c:v>45775</c:v>
                </c:pt>
                <c:pt idx="8">
                  <c:v>45776</c:v>
                </c:pt>
                <c:pt idx="9">
                  <c:v>45777</c:v>
                </c:pt>
                <c:pt idx="10">
                  <c:v>45778</c:v>
                </c:pt>
                <c:pt idx="11">
                  <c:v>45779</c:v>
                </c:pt>
                <c:pt idx="12">
                  <c:v>45780</c:v>
                </c:pt>
                <c:pt idx="13">
                  <c:v>45781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45787</c:v>
                </c:pt>
              </c:numCache>
            </c:numRef>
          </c:cat>
          <c:val>
            <c:numRef>
              <c:f>'Sprint 2'!$I$132:$AB$132</c:f>
              <c:numCache>
                <c:formatCode>General</c:formatCode>
                <c:ptCount val="20"/>
                <c:pt idx="0">
                  <c:v>253</c:v>
                </c:pt>
                <c:pt idx="1">
                  <c:v>248</c:v>
                </c:pt>
                <c:pt idx="2">
                  <c:v>233</c:v>
                </c:pt>
                <c:pt idx="3">
                  <c:v>216</c:v>
                </c:pt>
                <c:pt idx="4">
                  <c:v>204</c:v>
                </c:pt>
                <c:pt idx="5">
                  <c:v>194</c:v>
                </c:pt>
                <c:pt idx="6">
                  <c:v>189</c:v>
                </c:pt>
                <c:pt idx="7">
                  <c:v>181</c:v>
                </c:pt>
                <c:pt idx="8">
                  <c:v>177</c:v>
                </c:pt>
                <c:pt idx="9">
                  <c:v>153</c:v>
                </c:pt>
                <c:pt idx="10">
                  <c:v>139</c:v>
                </c:pt>
                <c:pt idx="11">
                  <c:v>123</c:v>
                </c:pt>
                <c:pt idx="12">
                  <c:v>107</c:v>
                </c:pt>
                <c:pt idx="13">
                  <c:v>95</c:v>
                </c:pt>
                <c:pt idx="14">
                  <c:v>80</c:v>
                </c:pt>
                <c:pt idx="15">
                  <c:v>72</c:v>
                </c:pt>
                <c:pt idx="16">
                  <c:v>60</c:v>
                </c:pt>
                <c:pt idx="17">
                  <c:v>37</c:v>
                </c:pt>
                <c:pt idx="18">
                  <c:v>14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9-48EE-BFF0-7C2CB0CE2731}"/>
            </c:ext>
          </c:extLst>
        </c:ser>
        <c:ser>
          <c:idx val="1"/>
          <c:order val="1"/>
          <c:tx>
            <c:v>Thực tế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2'!$I$131:$AB$131</c:f>
              <c:numCache>
                <c:formatCode>dd/mm</c:formatCode>
                <c:ptCount val="20"/>
                <c:pt idx="0">
                  <c:v>45768</c:v>
                </c:pt>
                <c:pt idx="1">
                  <c:v>45769</c:v>
                </c:pt>
                <c:pt idx="2">
                  <c:v>45770</c:v>
                </c:pt>
                <c:pt idx="3">
                  <c:v>45771</c:v>
                </c:pt>
                <c:pt idx="4">
                  <c:v>45772</c:v>
                </c:pt>
                <c:pt idx="5">
                  <c:v>45773</c:v>
                </c:pt>
                <c:pt idx="6">
                  <c:v>45774</c:v>
                </c:pt>
                <c:pt idx="7">
                  <c:v>45775</c:v>
                </c:pt>
                <c:pt idx="8">
                  <c:v>45776</c:v>
                </c:pt>
                <c:pt idx="9">
                  <c:v>45777</c:v>
                </c:pt>
                <c:pt idx="10">
                  <c:v>45778</c:v>
                </c:pt>
                <c:pt idx="11">
                  <c:v>45779</c:v>
                </c:pt>
                <c:pt idx="12">
                  <c:v>45780</c:v>
                </c:pt>
                <c:pt idx="13">
                  <c:v>45781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45787</c:v>
                </c:pt>
              </c:numCache>
            </c:numRef>
          </c:cat>
          <c:val>
            <c:numRef>
              <c:f>'Sprint 2'!$I$133:$AB$133</c:f>
              <c:numCache>
                <c:formatCode>General</c:formatCode>
                <c:ptCount val="20"/>
                <c:pt idx="0">
                  <c:v>249</c:v>
                </c:pt>
                <c:pt idx="1">
                  <c:v>238</c:v>
                </c:pt>
                <c:pt idx="2">
                  <c:v>223</c:v>
                </c:pt>
                <c:pt idx="3">
                  <c:v>211</c:v>
                </c:pt>
                <c:pt idx="4">
                  <c:v>202</c:v>
                </c:pt>
                <c:pt idx="5">
                  <c:v>187</c:v>
                </c:pt>
                <c:pt idx="6">
                  <c:v>182</c:v>
                </c:pt>
                <c:pt idx="7">
                  <c:v>169</c:v>
                </c:pt>
                <c:pt idx="8">
                  <c:v>157</c:v>
                </c:pt>
                <c:pt idx="9">
                  <c:v>138</c:v>
                </c:pt>
                <c:pt idx="10">
                  <c:v>119</c:v>
                </c:pt>
                <c:pt idx="11">
                  <c:v>103</c:v>
                </c:pt>
                <c:pt idx="12">
                  <c:v>94</c:v>
                </c:pt>
                <c:pt idx="13">
                  <c:v>85</c:v>
                </c:pt>
                <c:pt idx="14">
                  <c:v>75</c:v>
                </c:pt>
                <c:pt idx="15">
                  <c:v>66</c:v>
                </c:pt>
                <c:pt idx="16">
                  <c:v>51</c:v>
                </c:pt>
                <c:pt idx="17">
                  <c:v>32</c:v>
                </c:pt>
                <c:pt idx="18">
                  <c:v>13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9-48EE-BFF0-7C2CB0CE2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82815"/>
        <c:axId val="153689887"/>
      </c:lineChart>
      <c:dateAx>
        <c:axId val="153682815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89887"/>
        <c:crosses val="autoZero"/>
        <c:auto val="1"/>
        <c:lblOffset val="100"/>
        <c:baseTimeUnit val="days"/>
      </c:dateAx>
      <c:valAx>
        <c:axId val="153689887"/>
        <c:scaling>
          <c:orientation val="minMax"/>
          <c:max val="3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87086</xdr:colOff>
      <xdr:row>205</xdr:row>
      <xdr:rowOff>171450</xdr:rowOff>
    </xdr:from>
    <xdr:to>
      <xdr:col>27</xdr:col>
      <xdr:colOff>326571</xdr:colOff>
      <xdr:row>252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FC4E7B-2579-4C7B-B403-176F47F76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134</xdr:row>
      <xdr:rowOff>150091</xdr:rowOff>
    </xdr:from>
    <xdr:to>
      <xdr:col>24</xdr:col>
      <xdr:colOff>320040</xdr:colOff>
      <xdr:row>174</xdr:row>
      <xdr:rowOff>80818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06C7DF-1057-4B53-A39B-EB23754D8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134</xdr:row>
      <xdr:rowOff>150091</xdr:rowOff>
    </xdr:from>
    <xdr:to>
      <xdr:col>24</xdr:col>
      <xdr:colOff>320040</xdr:colOff>
      <xdr:row>174</xdr:row>
      <xdr:rowOff>80818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EA1B3-AB8D-40F3-BD6E-80A5F0B50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0A30-EF48-4916-A319-113BE3D6E4EA}">
  <dimension ref="A1:AN212"/>
  <sheetViews>
    <sheetView tabSelected="1" topLeftCell="A30" zoomScale="57" zoomScaleNormal="49" workbookViewId="0">
      <selection activeCell="Q47" sqref="Q47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8.6640625" style="1" customWidth="1"/>
    <col min="4" max="5" width="11" style="1" customWidth="1"/>
    <col min="6" max="6" width="20.5546875" style="1" customWidth="1"/>
    <col min="7" max="8" width="6.109375" style="1" customWidth="1"/>
    <col min="9" max="9" width="8.109375" style="1" customWidth="1"/>
    <col min="10" max="10" width="8.5546875" style="1" customWidth="1"/>
    <col min="11" max="20" width="8.5546875" style="1" bestFit="1" customWidth="1"/>
    <col min="21" max="21" width="6" style="1" customWidth="1"/>
    <col min="22" max="24" width="6.109375" style="1" customWidth="1"/>
    <col min="25" max="25" width="6" style="1" customWidth="1"/>
    <col min="26" max="26" width="6.109375" style="1" customWidth="1"/>
    <col min="27" max="27" width="10.21875" style="1" customWidth="1"/>
    <col min="28" max="28" width="9.21875" style="1" customWidth="1"/>
    <col min="29" max="29" width="8.88671875" style="1" customWidth="1"/>
    <col min="30" max="30" width="5" style="1" customWidth="1"/>
    <col min="31" max="31" width="4.5546875" style="1" customWidth="1"/>
    <col min="32" max="33" width="4.88671875" style="1" bestFit="1" customWidth="1"/>
    <col min="34" max="34" width="5.109375" style="1" bestFit="1" customWidth="1"/>
    <col min="35" max="35" width="4.5546875" style="1" bestFit="1" customWidth="1"/>
    <col min="36" max="36" width="1.44140625" style="1" customWidth="1"/>
    <col min="37" max="16384" width="9.109375" style="1"/>
  </cols>
  <sheetData>
    <row r="1" spans="1:29" ht="22.8" customHeight="1" x14ac:dyDescent="0.3">
      <c r="A1" s="64" t="s">
        <v>0</v>
      </c>
      <c r="B1" s="64"/>
      <c r="C1" s="69" t="s">
        <v>52</v>
      </c>
      <c r="D1" s="69"/>
      <c r="E1" s="69"/>
      <c r="F1" s="69"/>
      <c r="N1" s="13"/>
      <c r="O1" s="67" t="s">
        <v>1</v>
      </c>
      <c r="P1" s="67"/>
      <c r="Q1" s="67"/>
    </row>
    <row r="2" spans="1:29" ht="22.2" customHeight="1" x14ac:dyDescent="0.3">
      <c r="A2" s="64" t="s">
        <v>2</v>
      </c>
      <c r="B2" s="64"/>
      <c r="C2" s="70" t="s">
        <v>3</v>
      </c>
      <c r="D2" s="70"/>
      <c r="E2" s="70"/>
      <c r="F2" s="70"/>
      <c r="N2" s="14"/>
      <c r="O2" s="68" t="s">
        <v>4</v>
      </c>
      <c r="P2" s="68"/>
      <c r="Q2" s="68"/>
    </row>
    <row r="3" spans="1:29" ht="21.6" customHeight="1" x14ac:dyDescent="0.3">
      <c r="A3" s="64" t="s">
        <v>5</v>
      </c>
      <c r="B3" s="64"/>
      <c r="C3" s="71" t="s">
        <v>123</v>
      </c>
      <c r="D3" s="71"/>
      <c r="E3" s="71"/>
      <c r="F3" s="71"/>
      <c r="N3" s="15"/>
      <c r="O3" s="68" t="s">
        <v>6</v>
      </c>
      <c r="P3" s="68"/>
      <c r="Q3" s="68"/>
    </row>
    <row r="4" spans="1:29" ht="19.2" customHeight="1" x14ac:dyDescent="0.3">
      <c r="A4" s="64" t="s">
        <v>7</v>
      </c>
      <c r="B4" s="64"/>
      <c r="C4" s="71" t="s">
        <v>124</v>
      </c>
      <c r="D4" s="71"/>
      <c r="E4" s="71"/>
      <c r="F4" s="71"/>
    </row>
    <row r="5" spans="1:29" ht="16.5" customHeight="1" x14ac:dyDescent="0.3"/>
    <row r="6" spans="1:29" x14ac:dyDescent="0.3">
      <c r="B6" s="65" t="s">
        <v>8</v>
      </c>
      <c r="C6" s="65"/>
      <c r="D6" s="65"/>
      <c r="E6" s="65"/>
    </row>
    <row r="7" spans="1:29" x14ac:dyDescent="0.3">
      <c r="B7" s="11" t="s">
        <v>9</v>
      </c>
      <c r="C7" s="11" t="s">
        <v>10</v>
      </c>
      <c r="D7" s="11" t="s">
        <v>11</v>
      </c>
      <c r="E7" s="11" t="s">
        <v>12</v>
      </c>
    </row>
    <row r="8" spans="1:29" x14ac:dyDescent="0.3">
      <c r="B8" s="8">
        <v>1</v>
      </c>
      <c r="C8" s="5" t="s">
        <v>125</v>
      </c>
      <c r="D8" s="5">
        <f ca="1">SUMIF(E102:F193,"*" &amp; TRIM(RIGHT(SUBSTITUTE($C8," ",REPT(" ",50)),50)) &amp; "*",G102:G193) + SUMIF(E102:F193, "All Team",G102:G193)</f>
        <v>101</v>
      </c>
      <c r="E8" s="5">
        <f t="shared" ref="E8:E12" ca="1" si="0">SUMIF(E16:F94,"*" &amp; TRIM(RIGHT(SUBSTITUTE($C8," ",REPT(" ",50)),50)) &amp; "*",H16:H94) + SUMIF(E16:F94, "All Team",H16:H94)</f>
        <v>92</v>
      </c>
    </row>
    <row r="9" spans="1:29" x14ac:dyDescent="0.3">
      <c r="B9" s="8">
        <v>2</v>
      </c>
      <c r="C9" s="5" t="s">
        <v>126</v>
      </c>
      <c r="D9" s="5">
        <f ca="1">SUMIF(E103:F194,"*" &amp; TRIM(RIGHT(SUBSTITUTE($C9," ",REPT(" ",50)),50)) &amp; "*",G103:G194) + SUMIF(E103:F194, "All Team",G103:G194)</f>
        <v>76</v>
      </c>
      <c r="E9" s="5">
        <f t="shared" ca="1" si="0"/>
        <v>77</v>
      </c>
    </row>
    <row r="10" spans="1:29" x14ac:dyDescent="0.3">
      <c r="B10" s="8">
        <v>3</v>
      </c>
      <c r="C10" s="5" t="s">
        <v>127</v>
      </c>
      <c r="D10" s="5">
        <f ca="1">SUMIF(E104:F195,"*" &amp; TRIM(RIGHT(SUBSTITUTE($C10," ",REPT(" ",50)),50)) &amp; "*",G104:G195) + SUMIF(E104:F195, "All Team",G104:G195)</f>
        <v>74</v>
      </c>
      <c r="E10" s="5">
        <f t="shared" ca="1" si="0"/>
        <v>61</v>
      </c>
    </row>
    <row r="11" spans="1:29" x14ac:dyDescent="0.3">
      <c r="B11" s="8">
        <v>4</v>
      </c>
      <c r="C11" s="5" t="s">
        <v>128</v>
      </c>
      <c r="D11" s="5">
        <f ca="1">SUMIF(E105:F196,"*" &amp; TRIM(RIGHT(SUBSTITUTE($C11," ",REPT(" ",50)),50)) &amp; "*",G105:G196) + SUMIF(E105:F196, "All Team",G105:G196)</f>
        <v>79</v>
      </c>
      <c r="E11" s="5">
        <f t="shared" ca="1" si="0"/>
        <v>64</v>
      </c>
    </row>
    <row r="12" spans="1:29" x14ac:dyDescent="0.3">
      <c r="B12" s="8">
        <v>5</v>
      </c>
      <c r="C12" s="5" t="s">
        <v>129</v>
      </c>
      <c r="D12" s="5">
        <f ca="1">SUMIF(E106:F197,"*" &amp; TRIM(RIGHT(SUBSTITUTE($C12," ",REPT(" ",50)),50)) &amp; "*",G106:G197) + SUMIF(E106:F197, "All Team",G106:G197)</f>
        <v>70</v>
      </c>
      <c r="E12" s="5">
        <f t="shared" ca="1" si="0"/>
        <v>57</v>
      </c>
    </row>
    <row r="13" spans="1:29" x14ac:dyDescent="0.3">
      <c r="B13" s="65" t="s">
        <v>13</v>
      </c>
      <c r="C13" s="65"/>
      <c r="D13" s="2">
        <f ca="1">SUM(D8:D12)</f>
        <v>400</v>
      </c>
      <c r="E13" s="2">
        <f ca="1">SUM(E8:E12)</f>
        <v>351</v>
      </c>
    </row>
    <row r="15" spans="1:29" ht="68.400000000000006" customHeight="1" x14ac:dyDescent="0.3">
      <c r="A15" s="17" t="s">
        <v>14</v>
      </c>
      <c r="B15" s="17" t="s">
        <v>15</v>
      </c>
      <c r="C15" s="59" t="s">
        <v>16</v>
      </c>
      <c r="D15" s="59"/>
      <c r="E15" s="59" t="s">
        <v>17</v>
      </c>
      <c r="F15" s="59"/>
      <c r="G15" s="18" t="s">
        <v>11</v>
      </c>
      <c r="H15" s="18" t="s">
        <v>12</v>
      </c>
      <c r="I15" s="19">
        <v>45961</v>
      </c>
      <c r="J15" s="19">
        <v>45962</v>
      </c>
      <c r="K15" s="19">
        <v>45963</v>
      </c>
      <c r="L15" s="19">
        <v>45964</v>
      </c>
      <c r="M15" s="19">
        <v>45965</v>
      </c>
      <c r="N15" s="19">
        <v>45966</v>
      </c>
      <c r="O15" s="19">
        <v>45967</v>
      </c>
      <c r="P15" s="19">
        <v>45968</v>
      </c>
      <c r="Q15" s="19">
        <v>45969</v>
      </c>
      <c r="R15" s="19">
        <v>45970</v>
      </c>
      <c r="S15" s="19">
        <v>45971</v>
      </c>
      <c r="T15" s="19">
        <v>45972</v>
      </c>
      <c r="U15" s="19">
        <v>45973</v>
      </c>
      <c r="V15" s="19">
        <v>45974</v>
      </c>
      <c r="W15" s="19">
        <v>45975</v>
      </c>
      <c r="X15" s="19">
        <v>45976</v>
      </c>
      <c r="Y15" s="19">
        <v>45977</v>
      </c>
      <c r="Z15" s="19">
        <v>45978</v>
      </c>
      <c r="AA15" s="19">
        <v>45979</v>
      </c>
      <c r="AB15" s="19">
        <v>45980</v>
      </c>
      <c r="AC15" s="19">
        <v>45981</v>
      </c>
    </row>
    <row r="16" spans="1:29" x14ac:dyDescent="0.3">
      <c r="A16" s="43" t="s">
        <v>3</v>
      </c>
      <c r="B16" s="33" t="s">
        <v>18</v>
      </c>
      <c r="C16" s="33"/>
      <c r="D16" s="33"/>
      <c r="E16" s="42" t="s">
        <v>34</v>
      </c>
      <c r="F16" s="42"/>
      <c r="G16" s="5"/>
      <c r="H16" s="5">
        <v>10</v>
      </c>
      <c r="I16" s="3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1:29" x14ac:dyDescent="0.3">
      <c r="A17" s="53"/>
      <c r="B17" s="33" t="s">
        <v>19</v>
      </c>
      <c r="C17" s="33"/>
      <c r="D17" s="33"/>
      <c r="E17" s="42" t="s">
        <v>132</v>
      </c>
      <c r="F17" s="42"/>
      <c r="G17" s="5"/>
      <c r="H17" s="5">
        <v>4</v>
      </c>
      <c r="I17" s="5">
        <v>4</v>
      </c>
      <c r="J17" s="3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5">
        <v>8</v>
      </c>
      <c r="R17" s="5">
        <v>8</v>
      </c>
      <c r="S17" s="5">
        <v>8</v>
      </c>
      <c r="T17" s="5">
        <v>8</v>
      </c>
      <c r="U17" s="5">
        <v>8</v>
      </c>
      <c r="V17" s="5">
        <v>8</v>
      </c>
      <c r="W17" s="5">
        <v>9</v>
      </c>
      <c r="X17" s="5">
        <v>7</v>
      </c>
      <c r="Y17" s="5">
        <v>6</v>
      </c>
      <c r="Z17" s="5">
        <v>0</v>
      </c>
      <c r="AA17" s="5">
        <v>0</v>
      </c>
      <c r="AB17" s="5">
        <v>0</v>
      </c>
      <c r="AC17" s="5">
        <v>0</v>
      </c>
    </row>
    <row r="18" spans="1:29" x14ac:dyDescent="0.3">
      <c r="A18" s="53"/>
      <c r="B18" s="33" t="s">
        <v>20</v>
      </c>
      <c r="C18" s="33"/>
      <c r="D18" s="33"/>
      <c r="E18" s="42" t="s">
        <v>174</v>
      </c>
      <c r="F18" s="42"/>
      <c r="G18" s="5"/>
      <c r="H18" s="5">
        <v>5</v>
      </c>
      <c r="I18" s="5">
        <v>20</v>
      </c>
      <c r="J18" s="5">
        <v>16</v>
      </c>
      <c r="K18" s="5">
        <v>12</v>
      </c>
      <c r="L18" s="5">
        <v>8</v>
      </c>
      <c r="M18" s="5">
        <v>4</v>
      </c>
      <c r="N18" s="3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x14ac:dyDescent="0.3">
      <c r="A19" s="53"/>
      <c r="B19" s="34" t="s">
        <v>49</v>
      </c>
      <c r="C19" s="38"/>
      <c r="D19" s="39"/>
      <c r="E19" s="40" t="s">
        <v>34</v>
      </c>
      <c r="F19" s="41"/>
      <c r="G19" s="5"/>
      <c r="H19" s="5">
        <v>10</v>
      </c>
      <c r="I19" s="5">
        <v>4</v>
      </c>
      <c r="J19" s="3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 x14ac:dyDescent="0.3">
      <c r="A20" s="53"/>
      <c r="B20" s="34" t="s">
        <v>50</v>
      </c>
      <c r="C20" s="38"/>
      <c r="D20" s="39"/>
      <c r="E20" s="42" t="s">
        <v>53</v>
      </c>
      <c r="F20" s="42"/>
      <c r="G20" s="5"/>
      <c r="H20" s="5">
        <v>4</v>
      </c>
      <c r="I20" s="5">
        <v>4</v>
      </c>
      <c r="J20" s="3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ht="16.8" customHeight="1" x14ac:dyDescent="0.3">
      <c r="A21" s="53"/>
      <c r="B21" s="43" t="s">
        <v>21</v>
      </c>
      <c r="C21" s="33" t="s">
        <v>173</v>
      </c>
      <c r="D21" s="33"/>
      <c r="E21" s="28" t="s">
        <v>113</v>
      </c>
      <c r="F21" s="29"/>
      <c r="G21" s="5"/>
      <c r="H21" s="5">
        <v>1</v>
      </c>
      <c r="I21" s="5">
        <v>2</v>
      </c>
      <c r="J21" s="5">
        <v>2</v>
      </c>
      <c r="K21" s="3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3">
      <c r="A22" s="53"/>
      <c r="B22" s="53"/>
      <c r="C22" s="33" t="s">
        <v>56</v>
      </c>
      <c r="D22" s="33"/>
      <c r="E22" s="28" t="s">
        <v>53</v>
      </c>
      <c r="F22" s="29"/>
      <c r="G22" s="5"/>
      <c r="H22" s="5">
        <v>2</v>
      </c>
      <c r="I22" s="5">
        <v>2</v>
      </c>
      <c r="J22" s="5">
        <v>2</v>
      </c>
      <c r="K22" s="3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3">
      <c r="A23" s="53"/>
      <c r="B23" s="53"/>
      <c r="C23" s="33" t="s">
        <v>175</v>
      </c>
      <c r="D23" s="33"/>
      <c r="E23" s="28" t="s">
        <v>182</v>
      </c>
      <c r="F23" s="29"/>
      <c r="G23" s="5"/>
      <c r="H23" s="5">
        <v>2</v>
      </c>
      <c r="I23" s="5">
        <v>3</v>
      </c>
      <c r="J23" s="5">
        <v>2</v>
      </c>
      <c r="K23" s="5">
        <v>2</v>
      </c>
      <c r="L23" s="3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3">
      <c r="A24" s="53"/>
      <c r="B24" s="53"/>
      <c r="C24" s="33" t="s">
        <v>176</v>
      </c>
      <c r="D24" s="33"/>
      <c r="E24" s="28" t="s">
        <v>183</v>
      </c>
      <c r="F24" s="29"/>
      <c r="G24" s="5"/>
      <c r="H24" s="5">
        <v>1</v>
      </c>
      <c r="I24" s="5">
        <v>4</v>
      </c>
      <c r="J24" s="5">
        <v>4</v>
      </c>
      <c r="K24" s="5">
        <v>4</v>
      </c>
      <c r="L24" s="3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29" x14ac:dyDescent="0.3">
      <c r="A25" s="53"/>
      <c r="B25" s="53"/>
      <c r="C25" s="30" t="s">
        <v>177</v>
      </c>
      <c r="D25" s="31"/>
      <c r="E25" s="28" t="s">
        <v>184</v>
      </c>
      <c r="F25" s="29"/>
      <c r="G25" s="5"/>
      <c r="H25" s="5">
        <v>3</v>
      </c>
      <c r="I25" s="5">
        <v>4</v>
      </c>
      <c r="J25" s="5">
        <v>4</v>
      </c>
      <c r="K25" s="5">
        <v>4</v>
      </c>
      <c r="L25" s="5">
        <v>4</v>
      </c>
      <c r="M25" s="3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3">
      <c r="A26" s="53"/>
      <c r="B26" s="53"/>
      <c r="C26" s="33" t="s">
        <v>178</v>
      </c>
      <c r="D26" s="33"/>
      <c r="E26" s="28" t="s">
        <v>53</v>
      </c>
      <c r="F26" s="29"/>
      <c r="G26" s="5"/>
      <c r="H26" s="5">
        <v>2</v>
      </c>
      <c r="I26" s="5">
        <v>2</v>
      </c>
      <c r="J26" s="5">
        <v>2</v>
      </c>
      <c r="K26" s="5">
        <v>2</v>
      </c>
      <c r="L26" s="5">
        <v>2</v>
      </c>
      <c r="M26" s="3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3">
      <c r="A27" s="53"/>
      <c r="B27" s="53"/>
      <c r="C27" s="33" t="s">
        <v>179</v>
      </c>
      <c r="D27" s="33"/>
      <c r="E27" s="28" t="s">
        <v>62</v>
      </c>
      <c r="F27" s="29"/>
      <c r="G27" s="5"/>
      <c r="H27" s="5">
        <v>2</v>
      </c>
      <c r="I27" s="5">
        <v>3</v>
      </c>
      <c r="J27" s="5">
        <v>3</v>
      </c>
      <c r="K27" s="5">
        <v>3</v>
      </c>
      <c r="L27" s="5">
        <v>3</v>
      </c>
      <c r="M27" s="5">
        <v>3</v>
      </c>
      <c r="N27" s="3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3">
      <c r="A28" s="53"/>
      <c r="B28" s="53"/>
      <c r="C28" s="33" t="s">
        <v>180</v>
      </c>
      <c r="D28" s="33"/>
      <c r="E28" s="28" t="s">
        <v>182</v>
      </c>
      <c r="F28" s="29"/>
      <c r="G28" s="5"/>
      <c r="H28" s="5">
        <v>1</v>
      </c>
      <c r="I28" s="5">
        <v>3</v>
      </c>
      <c r="J28" s="5">
        <v>3</v>
      </c>
      <c r="K28" s="5">
        <v>3</v>
      </c>
      <c r="L28" s="5">
        <v>3</v>
      </c>
      <c r="M28" s="5">
        <v>3</v>
      </c>
      <c r="N28" s="5">
        <v>3</v>
      </c>
      <c r="O28" s="3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3">
      <c r="A29" s="53"/>
      <c r="B29" s="53"/>
      <c r="C29" s="30" t="s">
        <v>181</v>
      </c>
      <c r="D29" s="31"/>
      <c r="E29" s="28" t="s">
        <v>34</v>
      </c>
      <c r="F29" s="29"/>
      <c r="G29" s="5"/>
      <c r="H29" s="5">
        <v>4</v>
      </c>
      <c r="I29" s="5">
        <v>4</v>
      </c>
      <c r="J29" s="5">
        <v>4</v>
      </c>
      <c r="K29" s="5">
        <v>4</v>
      </c>
      <c r="L29" s="5">
        <v>4</v>
      </c>
      <c r="M29" s="5">
        <v>4</v>
      </c>
      <c r="N29" s="5">
        <v>4</v>
      </c>
      <c r="O29" s="5">
        <v>4</v>
      </c>
      <c r="P29" s="3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3">
      <c r="A30" s="53"/>
      <c r="B30" s="53"/>
      <c r="C30" s="30"/>
      <c r="D30" s="31"/>
      <c r="E30" s="28"/>
      <c r="F30" s="29"/>
      <c r="G30" s="5"/>
      <c r="H30" s="5"/>
      <c r="I30" s="5">
        <v>4</v>
      </c>
      <c r="J30" s="5">
        <v>4</v>
      </c>
      <c r="K30" s="5">
        <v>4</v>
      </c>
      <c r="L30" s="5">
        <v>4</v>
      </c>
      <c r="M30" s="5">
        <v>4</v>
      </c>
      <c r="N30" s="5">
        <v>4</v>
      </c>
      <c r="O30" s="5">
        <v>4</v>
      </c>
      <c r="P30" s="3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3">
      <c r="A31" s="53"/>
      <c r="B31" s="53"/>
      <c r="C31" s="30"/>
      <c r="D31" s="31"/>
      <c r="E31" s="28"/>
      <c r="F31" s="29"/>
      <c r="G31" s="5"/>
      <c r="H31" s="5"/>
      <c r="I31" s="5">
        <v>4</v>
      </c>
      <c r="J31" s="5">
        <v>4</v>
      </c>
      <c r="K31" s="5">
        <v>4</v>
      </c>
      <c r="L31" s="5">
        <v>4</v>
      </c>
      <c r="M31" s="5">
        <v>4</v>
      </c>
      <c r="N31" s="5">
        <v>4</v>
      </c>
      <c r="O31" s="5">
        <v>4</v>
      </c>
      <c r="P31" s="5">
        <v>4</v>
      </c>
      <c r="Q31" s="3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3">
      <c r="A32" s="53"/>
      <c r="B32" s="53"/>
      <c r="C32" s="34"/>
      <c r="D32" s="35"/>
      <c r="E32" s="28"/>
      <c r="F32" s="29"/>
      <c r="G32" s="5"/>
      <c r="H32" s="5"/>
      <c r="I32" s="5">
        <v>4</v>
      </c>
      <c r="J32" s="5">
        <v>4</v>
      </c>
      <c r="K32" s="5">
        <v>4</v>
      </c>
      <c r="L32" s="5">
        <v>4</v>
      </c>
      <c r="M32" s="5">
        <v>4</v>
      </c>
      <c r="N32" s="5">
        <v>4</v>
      </c>
      <c r="O32" s="5">
        <v>4</v>
      </c>
      <c r="P32" s="5">
        <v>4</v>
      </c>
      <c r="Q32" s="3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3">
      <c r="A33" s="53"/>
      <c r="B33" s="53"/>
      <c r="C33" s="30"/>
      <c r="D33" s="31"/>
      <c r="E33" s="28"/>
      <c r="F33" s="29"/>
      <c r="G33" s="5"/>
      <c r="H33" s="5"/>
      <c r="I33" s="5">
        <v>4</v>
      </c>
      <c r="J33" s="5">
        <v>4</v>
      </c>
      <c r="K33" s="5">
        <v>4</v>
      </c>
      <c r="L33" s="5">
        <v>4</v>
      </c>
      <c r="M33" s="5">
        <v>4</v>
      </c>
      <c r="N33" s="5">
        <v>4</v>
      </c>
      <c r="O33" s="5">
        <v>4</v>
      </c>
      <c r="P33" s="5">
        <v>4</v>
      </c>
      <c r="Q33" s="3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3">
      <c r="A34" s="53"/>
      <c r="B34" s="44"/>
      <c r="C34" s="34"/>
      <c r="D34" s="35"/>
      <c r="E34" s="28"/>
      <c r="F34" s="29"/>
      <c r="G34" s="5"/>
      <c r="H34" s="5"/>
      <c r="I34" s="5">
        <v>12</v>
      </c>
      <c r="J34" s="5">
        <v>12</v>
      </c>
      <c r="K34" s="5">
        <v>12</v>
      </c>
      <c r="L34" s="5">
        <v>12</v>
      </c>
      <c r="M34" s="5">
        <v>10</v>
      </c>
      <c r="N34" s="5">
        <v>8</v>
      </c>
      <c r="O34" s="5">
        <v>8</v>
      </c>
      <c r="P34" s="5">
        <v>4</v>
      </c>
      <c r="Q34" s="5">
        <v>2</v>
      </c>
      <c r="R34" s="3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ht="18.600000000000001" customHeight="1" x14ac:dyDescent="0.3">
      <c r="A35" s="53"/>
      <c r="B35" s="63" t="s">
        <v>22</v>
      </c>
      <c r="C35" s="33" t="s">
        <v>76</v>
      </c>
      <c r="D35" s="33"/>
      <c r="E35" s="28" t="s">
        <v>113</v>
      </c>
      <c r="F35" s="29"/>
      <c r="G35" s="5"/>
      <c r="H35" s="5">
        <v>2</v>
      </c>
      <c r="I35" s="5">
        <v>2</v>
      </c>
      <c r="J35" s="5">
        <v>2</v>
      </c>
      <c r="K35" s="5">
        <v>2</v>
      </c>
      <c r="L35" s="5">
        <v>2</v>
      </c>
      <c r="M35" s="5">
        <v>2</v>
      </c>
      <c r="N35" s="5">
        <v>2</v>
      </c>
      <c r="O35" s="5">
        <v>2</v>
      </c>
      <c r="P35" s="5">
        <v>2</v>
      </c>
      <c r="Q35" s="5">
        <v>2</v>
      </c>
      <c r="R35" s="5">
        <v>1</v>
      </c>
      <c r="S35" s="3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3">
      <c r="A36" s="53"/>
      <c r="B36" s="63"/>
      <c r="C36" s="33" t="s">
        <v>185</v>
      </c>
      <c r="D36" s="33"/>
      <c r="E36" s="28" t="s">
        <v>53</v>
      </c>
      <c r="F36" s="29"/>
      <c r="G36" s="5"/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3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x14ac:dyDescent="0.3">
      <c r="A37" s="53"/>
      <c r="B37" s="63"/>
      <c r="C37" s="55" t="s">
        <v>186</v>
      </c>
      <c r="D37" s="56"/>
      <c r="E37" s="28" t="s">
        <v>184</v>
      </c>
      <c r="F37" s="29"/>
      <c r="G37" s="5"/>
      <c r="H37" s="5">
        <v>2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3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x14ac:dyDescent="0.3">
      <c r="A38" s="53"/>
      <c r="B38" s="63"/>
      <c r="C38" s="57" t="s">
        <v>187</v>
      </c>
      <c r="D38" s="58"/>
      <c r="E38" s="28" t="s">
        <v>182</v>
      </c>
      <c r="F38" s="29"/>
      <c r="G38" s="5"/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3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spans="1:29" x14ac:dyDescent="0.3">
      <c r="A39" s="53"/>
      <c r="B39" s="63"/>
      <c r="C39" s="33" t="s">
        <v>78</v>
      </c>
      <c r="D39" s="33"/>
      <c r="E39" s="28" t="s">
        <v>183</v>
      </c>
      <c r="F39" s="29"/>
      <c r="G39" s="5"/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2</v>
      </c>
      <c r="P39" s="5">
        <v>2</v>
      </c>
      <c r="Q39" s="5">
        <v>2</v>
      </c>
      <c r="R39" s="5">
        <v>1</v>
      </c>
      <c r="S39" s="3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3">
      <c r="A40" s="53"/>
      <c r="B40" s="63"/>
      <c r="C40" s="30" t="s">
        <v>188</v>
      </c>
      <c r="D40" s="31"/>
      <c r="E40" s="28" t="s">
        <v>62</v>
      </c>
      <c r="F40" s="29"/>
      <c r="G40" s="5"/>
      <c r="H40" s="5">
        <v>2</v>
      </c>
      <c r="I40" s="5">
        <v>2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2</v>
      </c>
      <c r="Q40" s="5">
        <v>2</v>
      </c>
      <c r="R40" s="5">
        <v>2</v>
      </c>
      <c r="S40" s="5">
        <v>1</v>
      </c>
      <c r="T40" s="3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3">
      <c r="A41" s="53"/>
      <c r="B41" s="63"/>
      <c r="C41" s="30" t="s">
        <v>189</v>
      </c>
      <c r="D41" s="31"/>
      <c r="E41" s="28" t="s">
        <v>53</v>
      </c>
      <c r="F41" s="29"/>
      <c r="G41" s="5"/>
      <c r="H41" s="5">
        <v>1</v>
      </c>
      <c r="I41" s="5">
        <v>2</v>
      </c>
      <c r="J41" s="5">
        <v>2</v>
      </c>
      <c r="K41" s="5">
        <v>2</v>
      </c>
      <c r="L41" s="5">
        <v>2</v>
      </c>
      <c r="M41" s="5">
        <v>2</v>
      </c>
      <c r="N41" s="5">
        <v>2</v>
      </c>
      <c r="O41" s="5">
        <v>2</v>
      </c>
      <c r="P41" s="5">
        <v>2</v>
      </c>
      <c r="Q41" s="5">
        <v>2</v>
      </c>
      <c r="R41" s="5">
        <v>2</v>
      </c>
      <c r="S41" s="5">
        <v>1</v>
      </c>
      <c r="T41" s="3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x14ac:dyDescent="0.3">
      <c r="A42" s="53"/>
      <c r="B42" s="63"/>
      <c r="C42" s="30" t="s">
        <v>190</v>
      </c>
      <c r="D42" s="31"/>
      <c r="E42" s="28" t="s">
        <v>184</v>
      </c>
      <c r="F42" s="29"/>
      <c r="G42" s="5"/>
      <c r="H42" s="5">
        <v>1</v>
      </c>
      <c r="I42" s="5">
        <v>2</v>
      </c>
      <c r="J42" s="5">
        <v>2</v>
      </c>
      <c r="K42" s="5">
        <v>2</v>
      </c>
      <c r="L42" s="5">
        <v>2</v>
      </c>
      <c r="M42" s="5">
        <v>2</v>
      </c>
      <c r="N42" s="5">
        <v>2</v>
      </c>
      <c r="O42" s="5">
        <v>2</v>
      </c>
      <c r="P42" s="5">
        <v>2</v>
      </c>
      <c r="Q42" s="5">
        <v>2</v>
      </c>
      <c r="R42" s="5">
        <v>2</v>
      </c>
      <c r="S42" s="5">
        <v>1</v>
      </c>
      <c r="T42" s="3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3">
      <c r="A43" s="53"/>
      <c r="B43" s="63"/>
      <c r="C43" s="30" t="s">
        <v>191</v>
      </c>
      <c r="D43" s="31"/>
      <c r="E43" s="28" t="s">
        <v>34</v>
      </c>
      <c r="F43" s="29"/>
      <c r="G43" s="5"/>
      <c r="H43" s="5">
        <v>4</v>
      </c>
      <c r="I43" s="5">
        <v>2</v>
      </c>
      <c r="J43" s="5">
        <v>2</v>
      </c>
      <c r="K43" s="5">
        <v>2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  <c r="Q43" s="5">
        <v>2</v>
      </c>
      <c r="R43" s="5">
        <v>2</v>
      </c>
      <c r="S43" s="5">
        <v>1</v>
      </c>
      <c r="T43" s="3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3">
      <c r="A44" s="53"/>
      <c r="B44" s="63"/>
      <c r="C44" s="30"/>
      <c r="D44" s="31"/>
      <c r="E44" s="28"/>
      <c r="F44" s="29"/>
      <c r="G44" s="5"/>
      <c r="H44" s="5"/>
      <c r="I44" s="5">
        <v>2</v>
      </c>
      <c r="J44" s="5">
        <v>2</v>
      </c>
      <c r="K44" s="5">
        <v>2</v>
      </c>
      <c r="L44" s="5">
        <v>2</v>
      </c>
      <c r="M44" s="5">
        <v>2</v>
      </c>
      <c r="N44" s="5">
        <v>2</v>
      </c>
      <c r="O44" s="5">
        <v>2</v>
      </c>
      <c r="P44" s="5">
        <v>2</v>
      </c>
      <c r="Q44" s="5">
        <v>2</v>
      </c>
      <c r="R44" s="5">
        <v>2</v>
      </c>
      <c r="S44" s="5">
        <v>1</v>
      </c>
      <c r="T44" s="3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29" x14ac:dyDescent="0.3">
      <c r="A45" s="53"/>
      <c r="B45" s="63"/>
      <c r="C45" s="30"/>
      <c r="D45" s="31"/>
      <c r="E45" s="28"/>
      <c r="F45" s="29"/>
      <c r="G45" s="5"/>
      <c r="H45" s="5"/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3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3">
      <c r="A46" s="53"/>
      <c r="B46" s="63"/>
      <c r="C46" s="30"/>
      <c r="D46" s="31"/>
      <c r="E46" s="28"/>
      <c r="F46" s="29"/>
      <c r="G46" s="5"/>
      <c r="H46" s="5"/>
      <c r="I46" s="5">
        <v>2</v>
      </c>
      <c r="J46" s="5">
        <v>2</v>
      </c>
      <c r="K46" s="5">
        <v>2</v>
      </c>
      <c r="L46" s="5">
        <v>2</v>
      </c>
      <c r="M46" s="5">
        <v>2</v>
      </c>
      <c r="N46" s="5">
        <v>2</v>
      </c>
      <c r="O46" s="5">
        <v>2</v>
      </c>
      <c r="P46" s="5">
        <v>2</v>
      </c>
      <c r="Q46" s="5">
        <v>2</v>
      </c>
      <c r="R46" s="5">
        <v>2</v>
      </c>
      <c r="S46" s="5">
        <v>1</v>
      </c>
      <c r="T46" s="3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3">
      <c r="A47" s="53"/>
      <c r="B47" s="43" t="s">
        <v>85</v>
      </c>
      <c r="C47" s="30" t="s">
        <v>192</v>
      </c>
      <c r="D47" s="31"/>
      <c r="E47" s="28" t="s">
        <v>59</v>
      </c>
      <c r="F47" s="29"/>
      <c r="G47" s="5"/>
      <c r="H47" s="5">
        <v>5</v>
      </c>
      <c r="I47" s="5">
        <v>5</v>
      </c>
      <c r="J47" s="5">
        <v>5</v>
      </c>
      <c r="K47" s="5">
        <v>5</v>
      </c>
      <c r="L47" s="5">
        <v>5</v>
      </c>
      <c r="M47" s="5">
        <v>5</v>
      </c>
      <c r="N47" s="5">
        <v>5</v>
      </c>
      <c r="O47" s="5">
        <v>5</v>
      </c>
      <c r="P47" s="5">
        <v>4</v>
      </c>
      <c r="Q47" s="5">
        <v>3</v>
      </c>
      <c r="R47" s="5">
        <v>2</v>
      </c>
      <c r="S47" s="5">
        <v>1</v>
      </c>
      <c r="T47" s="3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x14ac:dyDescent="0.3">
      <c r="A48" s="53"/>
      <c r="B48" s="53"/>
      <c r="C48" s="30" t="s">
        <v>88</v>
      </c>
      <c r="D48" s="31"/>
      <c r="E48" s="28" t="s">
        <v>62</v>
      </c>
      <c r="F48" s="29"/>
      <c r="G48" s="5"/>
      <c r="H48" s="5">
        <v>5</v>
      </c>
      <c r="I48" s="5">
        <v>5</v>
      </c>
      <c r="J48" s="5">
        <v>5</v>
      </c>
      <c r="K48" s="5">
        <v>5</v>
      </c>
      <c r="L48" s="5">
        <v>5</v>
      </c>
      <c r="M48" s="5">
        <v>5</v>
      </c>
      <c r="N48" s="5">
        <v>5</v>
      </c>
      <c r="O48" s="5">
        <v>5</v>
      </c>
      <c r="P48" s="5">
        <v>4</v>
      </c>
      <c r="Q48" s="5">
        <v>3</v>
      </c>
      <c r="R48" s="5">
        <v>2</v>
      </c>
      <c r="S48" s="5">
        <v>1</v>
      </c>
      <c r="T48" s="3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35" x14ac:dyDescent="0.3">
      <c r="A49" s="53"/>
      <c r="B49" s="53"/>
      <c r="C49" s="34" t="s">
        <v>91</v>
      </c>
      <c r="D49" s="35"/>
      <c r="E49" s="28" t="s">
        <v>61</v>
      </c>
      <c r="F49" s="29"/>
      <c r="G49" s="5"/>
      <c r="H49" s="5">
        <v>6</v>
      </c>
      <c r="I49" s="5">
        <v>6</v>
      </c>
      <c r="J49" s="5">
        <v>6</v>
      </c>
      <c r="K49" s="5">
        <v>6</v>
      </c>
      <c r="L49" s="5">
        <v>6</v>
      </c>
      <c r="M49" s="5">
        <v>6</v>
      </c>
      <c r="N49" s="5">
        <v>6</v>
      </c>
      <c r="O49" s="5">
        <v>6</v>
      </c>
      <c r="P49" s="5">
        <v>5</v>
      </c>
      <c r="Q49" s="5">
        <v>4</v>
      </c>
      <c r="R49" s="5">
        <v>3</v>
      </c>
      <c r="S49" s="5">
        <v>2</v>
      </c>
      <c r="T49" s="5">
        <v>1</v>
      </c>
      <c r="U49" s="3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35" x14ac:dyDescent="0.3">
      <c r="A50" s="53"/>
      <c r="B50" s="53"/>
      <c r="C50" s="30" t="s">
        <v>92</v>
      </c>
      <c r="D50" s="31"/>
      <c r="E50" s="28" t="s">
        <v>60</v>
      </c>
      <c r="F50" s="29"/>
      <c r="G50" s="5"/>
      <c r="H50" s="5">
        <v>5</v>
      </c>
      <c r="I50" s="5">
        <v>5</v>
      </c>
      <c r="J50" s="5">
        <v>5</v>
      </c>
      <c r="K50" s="5">
        <v>5</v>
      </c>
      <c r="L50" s="5">
        <v>5</v>
      </c>
      <c r="M50" s="5">
        <v>5</v>
      </c>
      <c r="N50" s="5">
        <v>5</v>
      </c>
      <c r="O50" s="5">
        <v>5</v>
      </c>
      <c r="P50" s="5">
        <v>5</v>
      </c>
      <c r="Q50" s="5">
        <v>4</v>
      </c>
      <c r="R50" s="5">
        <v>3</v>
      </c>
      <c r="S50" s="5">
        <v>2</v>
      </c>
      <c r="T50" s="5">
        <v>1</v>
      </c>
      <c r="U50" s="3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35" x14ac:dyDescent="0.3">
      <c r="A51" s="53"/>
      <c r="B51" s="53"/>
      <c r="C51" s="34" t="s">
        <v>83</v>
      </c>
      <c r="D51" s="35"/>
      <c r="E51" s="28" t="s">
        <v>53</v>
      </c>
      <c r="F51" s="29"/>
      <c r="G51" s="5"/>
      <c r="H51" s="5">
        <v>5</v>
      </c>
      <c r="I51" s="5">
        <v>5</v>
      </c>
      <c r="J51" s="5">
        <v>5</v>
      </c>
      <c r="K51" s="5">
        <v>5</v>
      </c>
      <c r="L51" s="5">
        <v>5</v>
      </c>
      <c r="M51" s="5">
        <v>5</v>
      </c>
      <c r="N51" s="5">
        <v>5</v>
      </c>
      <c r="O51" s="5">
        <v>5</v>
      </c>
      <c r="P51" s="5">
        <v>5</v>
      </c>
      <c r="Q51" s="5">
        <v>5</v>
      </c>
      <c r="R51" s="5">
        <v>4</v>
      </c>
      <c r="S51" s="5">
        <v>3</v>
      </c>
      <c r="T51" s="5">
        <v>2</v>
      </c>
      <c r="U51" s="5">
        <v>1</v>
      </c>
      <c r="V51" s="3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H51" s="12"/>
      <c r="AI51" s="12"/>
    </row>
    <row r="52" spans="1:35" x14ac:dyDescent="0.3">
      <c r="A52" s="53"/>
      <c r="B52" s="53"/>
      <c r="C52" s="30" t="s">
        <v>89</v>
      </c>
      <c r="D52" s="31"/>
      <c r="E52" s="28" t="s">
        <v>62</v>
      </c>
      <c r="F52" s="29"/>
      <c r="G52" s="5"/>
      <c r="H52" s="5">
        <v>8</v>
      </c>
      <c r="I52" s="5">
        <v>8</v>
      </c>
      <c r="J52" s="5">
        <v>8</v>
      </c>
      <c r="K52" s="5">
        <v>8</v>
      </c>
      <c r="L52" s="5">
        <v>8</v>
      </c>
      <c r="M52" s="5">
        <v>8</v>
      </c>
      <c r="N52" s="5">
        <v>8</v>
      </c>
      <c r="O52" s="5">
        <v>8</v>
      </c>
      <c r="P52" s="5">
        <v>8</v>
      </c>
      <c r="Q52" s="5">
        <v>6</v>
      </c>
      <c r="R52" s="5">
        <v>4</v>
      </c>
      <c r="S52" s="5">
        <v>4</v>
      </c>
      <c r="T52" s="5">
        <v>3</v>
      </c>
      <c r="U52" s="5">
        <v>2</v>
      </c>
      <c r="V52" s="5">
        <v>1</v>
      </c>
      <c r="W52" s="3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H52" s="12"/>
      <c r="AI52" s="12"/>
    </row>
    <row r="53" spans="1:35" x14ac:dyDescent="0.3">
      <c r="A53" s="53"/>
      <c r="B53" s="53"/>
      <c r="C53" s="30" t="s">
        <v>90</v>
      </c>
      <c r="D53" s="31"/>
      <c r="E53" s="28" t="s">
        <v>53</v>
      </c>
      <c r="F53" s="29"/>
      <c r="G53" s="5"/>
      <c r="H53" s="5">
        <v>8</v>
      </c>
      <c r="I53" s="5">
        <v>8</v>
      </c>
      <c r="J53" s="5">
        <v>8</v>
      </c>
      <c r="K53" s="5">
        <v>8</v>
      </c>
      <c r="L53" s="5">
        <v>8</v>
      </c>
      <c r="M53" s="5">
        <v>8</v>
      </c>
      <c r="N53" s="5">
        <v>8</v>
      </c>
      <c r="O53" s="5">
        <v>8</v>
      </c>
      <c r="P53" s="5">
        <v>8</v>
      </c>
      <c r="Q53" s="5">
        <v>8</v>
      </c>
      <c r="R53" s="5">
        <v>8</v>
      </c>
      <c r="S53" s="5">
        <v>8</v>
      </c>
      <c r="T53" s="5">
        <v>6</v>
      </c>
      <c r="U53" s="5">
        <v>4</v>
      </c>
      <c r="V53" s="5">
        <v>2</v>
      </c>
      <c r="W53" s="3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35" x14ac:dyDescent="0.3">
      <c r="A54" s="53"/>
      <c r="B54" s="53"/>
      <c r="C54" s="30" t="s">
        <v>84</v>
      </c>
      <c r="D54" s="31"/>
      <c r="E54" s="28" t="s">
        <v>59</v>
      </c>
      <c r="F54" s="29"/>
      <c r="G54" s="5"/>
      <c r="H54" s="5">
        <v>8</v>
      </c>
      <c r="I54" s="5">
        <v>8</v>
      </c>
      <c r="J54" s="5">
        <v>8</v>
      </c>
      <c r="K54" s="5">
        <v>8</v>
      </c>
      <c r="L54" s="5">
        <v>8</v>
      </c>
      <c r="M54" s="5">
        <v>8</v>
      </c>
      <c r="N54" s="5">
        <v>8</v>
      </c>
      <c r="O54" s="5">
        <v>8</v>
      </c>
      <c r="P54" s="5">
        <v>8</v>
      </c>
      <c r="Q54" s="5">
        <v>8</v>
      </c>
      <c r="R54" s="5">
        <v>8</v>
      </c>
      <c r="S54" s="5">
        <v>8</v>
      </c>
      <c r="T54" s="5">
        <v>8</v>
      </c>
      <c r="U54" s="5">
        <v>6</v>
      </c>
      <c r="V54" s="5">
        <v>4</v>
      </c>
      <c r="W54" s="5">
        <v>2</v>
      </c>
      <c r="X54" s="3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35" x14ac:dyDescent="0.3">
      <c r="A55" s="53"/>
      <c r="B55" s="53"/>
      <c r="C55" s="30" t="s">
        <v>94</v>
      </c>
      <c r="D55" s="31"/>
      <c r="E55" s="28" t="s">
        <v>60</v>
      </c>
      <c r="F55" s="29"/>
      <c r="G55" s="5"/>
      <c r="H55" s="5">
        <v>8</v>
      </c>
      <c r="I55" s="5">
        <v>8</v>
      </c>
      <c r="J55" s="5">
        <v>8</v>
      </c>
      <c r="K55" s="5">
        <v>8</v>
      </c>
      <c r="L55" s="5">
        <v>8</v>
      </c>
      <c r="M55" s="5">
        <v>8</v>
      </c>
      <c r="N55" s="5">
        <v>8</v>
      </c>
      <c r="O55" s="5">
        <v>8</v>
      </c>
      <c r="P55" s="5">
        <v>8</v>
      </c>
      <c r="Q55" s="5">
        <v>8</v>
      </c>
      <c r="R55" s="5">
        <v>8</v>
      </c>
      <c r="S55" s="5">
        <v>8</v>
      </c>
      <c r="T55" s="5">
        <v>6</v>
      </c>
      <c r="U55" s="5">
        <v>4</v>
      </c>
      <c r="V55" s="5">
        <v>2</v>
      </c>
      <c r="W55" s="5">
        <v>1</v>
      </c>
      <c r="X55" s="3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35" x14ac:dyDescent="0.3">
      <c r="A56" s="53"/>
      <c r="B56" s="53"/>
      <c r="C56" s="30" t="s">
        <v>93</v>
      </c>
      <c r="D56" s="31"/>
      <c r="E56" s="28" t="s">
        <v>61</v>
      </c>
      <c r="F56" s="29"/>
      <c r="G56" s="5"/>
      <c r="H56" s="5">
        <v>8</v>
      </c>
      <c r="I56" s="5">
        <v>8</v>
      </c>
      <c r="J56" s="5">
        <v>8</v>
      </c>
      <c r="K56" s="5">
        <v>8</v>
      </c>
      <c r="L56" s="5">
        <v>8</v>
      </c>
      <c r="M56" s="5">
        <v>8</v>
      </c>
      <c r="N56" s="5">
        <v>8</v>
      </c>
      <c r="O56" s="5">
        <v>8</v>
      </c>
      <c r="P56" s="5">
        <v>8</v>
      </c>
      <c r="Q56" s="5">
        <v>8</v>
      </c>
      <c r="R56" s="5">
        <v>8</v>
      </c>
      <c r="S56" s="5">
        <v>8</v>
      </c>
      <c r="T56" s="5">
        <v>6</v>
      </c>
      <c r="U56" s="5">
        <v>4</v>
      </c>
      <c r="V56" s="5">
        <v>2</v>
      </c>
      <c r="W56" s="5">
        <v>1</v>
      </c>
      <c r="X56" s="3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35" x14ac:dyDescent="0.3">
      <c r="A57" s="53"/>
      <c r="B57" s="53"/>
      <c r="C57" s="30" t="s">
        <v>86</v>
      </c>
      <c r="D57" s="31"/>
      <c r="E57" s="28" t="s">
        <v>62</v>
      </c>
      <c r="F57" s="29"/>
      <c r="G57" s="5"/>
      <c r="H57" s="5">
        <v>2</v>
      </c>
      <c r="I57" s="5">
        <v>2</v>
      </c>
      <c r="J57" s="5">
        <v>2</v>
      </c>
      <c r="K57" s="5">
        <v>2</v>
      </c>
      <c r="L57" s="5">
        <v>2</v>
      </c>
      <c r="M57" s="5">
        <v>2</v>
      </c>
      <c r="N57" s="5">
        <v>2</v>
      </c>
      <c r="O57" s="5">
        <v>2</v>
      </c>
      <c r="P57" s="5">
        <v>2</v>
      </c>
      <c r="Q57" s="5">
        <v>2</v>
      </c>
      <c r="R57" s="5">
        <v>2</v>
      </c>
      <c r="S57" s="5">
        <v>2</v>
      </c>
      <c r="T57" s="5">
        <v>2</v>
      </c>
      <c r="U57" s="5">
        <v>2</v>
      </c>
      <c r="V57" s="5">
        <v>2</v>
      </c>
      <c r="W57" s="5">
        <v>1</v>
      </c>
      <c r="X57" s="3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spans="1:35" x14ac:dyDescent="0.3">
      <c r="A58" s="53"/>
      <c r="B58" s="44"/>
      <c r="C58" s="33" t="s">
        <v>32</v>
      </c>
      <c r="D58" s="33"/>
      <c r="E58" s="28" t="s">
        <v>34</v>
      </c>
      <c r="F58" s="29"/>
      <c r="G58" s="5"/>
      <c r="H58" s="5">
        <v>12</v>
      </c>
      <c r="I58" s="5">
        <v>12</v>
      </c>
      <c r="J58" s="5">
        <v>12</v>
      </c>
      <c r="K58" s="5">
        <v>12</v>
      </c>
      <c r="L58" s="5">
        <v>12</v>
      </c>
      <c r="M58" s="5">
        <v>12</v>
      </c>
      <c r="N58" s="5">
        <v>12</v>
      </c>
      <c r="O58" s="5">
        <v>12</v>
      </c>
      <c r="P58" s="5">
        <v>12</v>
      </c>
      <c r="Q58" s="5">
        <v>12</v>
      </c>
      <c r="R58" s="5">
        <v>12</v>
      </c>
      <c r="S58" s="5">
        <v>12</v>
      </c>
      <c r="T58" s="5">
        <v>10</v>
      </c>
      <c r="U58" s="5">
        <v>8</v>
      </c>
      <c r="V58" s="5">
        <v>6</v>
      </c>
      <c r="W58" s="5">
        <v>4</v>
      </c>
      <c r="X58" s="5">
        <v>2</v>
      </c>
      <c r="Y58" s="3">
        <v>0</v>
      </c>
      <c r="Z58" s="5">
        <v>0</v>
      </c>
      <c r="AA58" s="5">
        <v>0</v>
      </c>
      <c r="AB58" s="5">
        <v>0</v>
      </c>
      <c r="AC58" s="5">
        <v>0</v>
      </c>
    </row>
    <row r="59" spans="1:35" x14ac:dyDescent="0.3">
      <c r="A59" s="53"/>
      <c r="B59" s="63" t="s">
        <v>24</v>
      </c>
      <c r="C59" s="54" t="s">
        <v>96</v>
      </c>
      <c r="D59" s="33"/>
      <c r="E59" s="28" t="s">
        <v>61</v>
      </c>
      <c r="F59" s="29"/>
      <c r="G59" s="5"/>
      <c r="H59" s="5">
        <v>3</v>
      </c>
      <c r="I59" s="5">
        <v>3</v>
      </c>
      <c r="J59" s="5">
        <v>3</v>
      </c>
      <c r="K59" s="5">
        <v>3</v>
      </c>
      <c r="L59" s="5">
        <v>3</v>
      </c>
      <c r="M59" s="5">
        <v>3</v>
      </c>
      <c r="N59" s="5">
        <v>3</v>
      </c>
      <c r="O59" s="5">
        <v>3</v>
      </c>
      <c r="P59" s="5"/>
      <c r="Q59" s="5">
        <v>3</v>
      </c>
      <c r="R59" s="5">
        <v>3</v>
      </c>
      <c r="S59" s="5">
        <v>3</v>
      </c>
      <c r="T59" s="5">
        <v>3</v>
      </c>
      <c r="U59" s="5">
        <v>3</v>
      </c>
      <c r="V59" s="5">
        <v>3</v>
      </c>
      <c r="W59" s="5">
        <v>3</v>
      </c>
      <c r="X59" s="5">
        <v>2</v>
      </c>
      <c r="Y59" s="5">
        <v>1</v>
      </c>
      <c r="Z59" s="3">
        <v>0</v>
      </c>
      <c r="AA59" s="5">
        <v>0</v>
      </c>
      <c r="AB59" s="5">
        <v>0</v>
      </c>
      <c r="AC59" s="5">
        <v>0</v>
      </c>
    </row>
    <row r="60" spans="1:35" x14ac:dyDescent="0.3">
      <c r="A60" s="53"/>
      <c r="B60" s="63"/>
      <c r="C60" s="33" t="s">
        <v>95</v>
      </c>
      <c r="D60" s="33"/>
      <c r="E60" s="28" t="s">
        <v>61</v>
      </c>
      <c r="F60" s="29"/>
      <c r="G60" s="5"/>
      <c r="H60" s="5">
        <v>3</v>
      </c>
      <c r="I60" s="5">
        <v>3</v>
      </c>
      <c r="J60" s="5">
        <v>3</v>
      </c>
      <c r="K60" s="5">
        <v>3</v>
      </c>
      <c r="L60" s="5">
        <v>3</v>
      </c>
      <c r="M60" s="5">
        <v>3</v>
      </c>
      <c r="N60" s="5">
        <v>3</v>
      </c>
      <c r="O60" s="5">
        <v>3</v>
      </c>
      <c r="P60" s="5">
        <v>3</v>
      </c>
      <c r="Q60" s="5">
        <v>3</v>
      </c>
      <c r="R60" s="5">
        <v>3</v>
      </c>
      <c r="S60" s="5">
        <v>3</v>
      </c>
      <c r="T60" s="5">
        <v>3</v>
      </c>
      <c r="U60" s="5">
        <v>3</v>
      </c>
      <c r="V60" s="5">
        <v>3</v>
      </c>
      <c r="W60" s="5">
        <v>3</v>
      </c>
      <c r="X60" s="5">
        <v>2</v>
      </c>
      <c r="Y60" s="5">
        <v>1</v>
      </c>
      <c r="Z60" s="3">
        <v>0</v>
      </c>
      <c r="AA60" s="5">
        <v>0</v>
      </c>
      <c r="AB60" s="5">
        <v>0</v>
      </c>
      <c r="AC60" s="5">
        <v>0</v>
      </c>
    </row>
    <row r="61" spans="1:35" x14ac:dyDescent="0.3">
      <c r="A61" s="53"/>
      <c r="B61" s="63"/>
      <c r="C61" s="33" t="s">
        <v>97</v>
      </c>
      <c r="D61" s="33"/>
      <c r="E61" s="28" t="s">
        <v>53</v>
      </c>
      <c r="F61" s="29"/>
      <c r="G61" s="5"/>
      <c r="H61" s="5">
        <v>3</v>
      </c>
      <c r="I61" s="5">
        <v>3</v>
      </c>
      <c r="J61" s="5">
        <v>3</v>
      </c>
      <c r="K61" s="5">
        <v>3</v>
      </c>
      <c r="L61" s="5">
        <v>3</v>
      </c>
      <c r="M61" s="5">
        <v>3</v>
      </c>
      <c r="N61" s="5">
        <v>3</v>
      </c>
      <c r="O61" s="5">
        <v>3</v>
      </c>
      <c r="P61" s="5">
        <v>3</v>
      </c>
      <c r="Q61" s="5">
        <v>3</v>
      </c>
      <c r="R61" s="5">
        <v>3</v>
      </c>
      <c r="S61" s="5">
        <v>3</v>
      </c>
      <c r="T61" s="5">
        <v>3</v>
      </c>
      <c r="U61" s="5">
        <v>3</v>
      </c>
      <c r="V61" s="5">
        <v>3</v>
      </c>
      <c r="W61" s="5">
        <v>3</v>
      </c>
      <c r="X61" s="5">
        <v>3</v>
      </c>
      <c r="Y61" s="5">
        <v>2</v>
      </c>
      <c r="Z61" s="5">
        <v>1</v>
      </c>
      <c r="AA61" s="3">
        <v>0</v>
      </c>
      <c r="AB61" s="5">
        <v>0</v>
      </c>
      <c r="AC61" s="5">
        <v>0</v>
      </c>
    </row>
    <row r="62" spans="1:35" x14ac:dyDescent="0.3">
      <c r="A62" s="53"/>
      <c r="B62" s="63"/>
      <c r="C62" s="33" t="s">
        <v>98</v>
      </c>
      <c r="D62" s="33"/>
      <c r="E62" s="28" t="s">
        <v>53</v>
      </c>
      <c r="F62" s="29"/>
      <c r="G62" s="5"/>
      <c r="H62" s="5">
        <v>3</v>
      </c>
      <c r="I62" s="5">
        <v>3</v>
      </c>
      <c r="J62" s="5">
        <v>3</v>
      </c>
      <c r="K62" s="5">
        <v>3</v>
      </c>
      <c r="L62" s="5">
        <v>3</v>
      </c>
      <c r="M62" s="5">
        <v>3</v>
      </c>
      <c r="N62" s="5">
        <v>3</v>
      </c>
      <c r="O62" s="5">
        <v>3</v>
      </c>
      <c r="P62" s="5">
        <v>3</v>
      </c>
      <c r="Q62" s="5">
        <v>3</v>
      </c>
      <c r="R62" s="5">
        <v>3</v>
      </c>
      <c r="S62" s="5">
        <v>3</v>
      </c>
      <c r="T62" s="5">
        <v>3</v>
      </c>
      <c r="U62" s="5">
        <v>3</v>
      </c>
      <c r="V62" s="5">
        <v>3</v>
      </c>
      <c r="W62" s="5">
        <v>3</v>
      </c>
      <c r="X62" s="5">
        <v>3</v>
      </c>
      <c r="Y62" s="5">
        <v>2</v>
      </c>
      <c r="Z62" s="5">
        <v>1</v>
      </c>
      <c r="AA62" s="3">
        <v>0</v>
      </c>
      <c r="AB62" s="5">
        <v>0</v>
      </c>
      <c r="AC62" s="5">
        <v>0</v>
      </c>
    </row>
    <row r="63" spans="1:35" x14ac:dyDescent="0.3">
      <c r="A63" s="53"/>
      <c r="B63" s="63"/>
      <c r="C63" s="33" t="s">
        <v>99</v>
      </c>
      <c r="D63" s="33"/>
      <c r="E63" s="28" t="s">
        <v>62</v>
      </c>
      <c r="F63" s="29"/>
      <c r="G63" s="5"/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3">
        <v>0</v>
      </c>
      <c r="AB63" s="5">
        <v>0</v>
      </c>
      <c r="AC63" s="5">
        <v>0</v>
      </c>
    </row>
    <row r="64" spans="1:35" x14ac:dyDescent="0.3">
      <c r="A64" s="53"/>
      <c r="B64" s="63"/>
      <c r="C64" s="30" t="s">
        <v>36</v>
      </c>
      <c r="D64" s="31"/>
      <c r="E64" s="28" t="s">
        <v>62</v>
      </c>
      <c r="F64" s="29"/>
      <c r="G64" s="5"/>
      <c r="H64" s="5">
        <v>2</v>
      </c>
      <c r="I64" s="5">
        <v>2</v>
      </c>
      <c r="J64" s="5">
        <v>2</v>
      </c>
      <c r="K64" s="5">
        <v>2</v>
      </c>
      <c r="L64" s="5">
        <v>2</v>
      </c>
      <c r="M64" s="5">
        <v>2</v>
      </c>
      <c r="N64" s="5">
        <v>2</v>
      </c>
      <c r="O64" s="5">
        <v>2</v>
      </c>
      <c r="P64" s="5">
        <v>2</v>
      </c>
      <c r="Q64" s="5">
        <v>2</v>
      </c>
      <c r="R64" s="5">
        <v>2</v>
      </c>
      <c r="S64" s="5">
        <v>2</v>
      </c>
      <c r="T64" s="5">
        <v>2</v>
      </c>
      <c r="U64" s="5">
        <v>2</v>
      </c>
      <c r="V64" s="5">
        <v>2</v>
      </c>
      <c r="W64" s="5">
        <v>2</v>
      </c>
      <c r="X64" s="5">
        <v>2</v>
      </c>
      <c r="Y64" s="5">
        <v>2</v>
      </c>
      <c r="Z64" s="5">
        <v>1</v>
      </c>
      <c r="AA64" s="3">
        <v>0</v>
      </c>
      <c r="AB64" s="5">
        <v>0</v>
      </c>
      <c r="AC64" s="5">
        <v>0</v>
      </c>
    </row>
    <row r="65" spans="1:29" x14ac:dyDescent="0.3">
      <c r="A65" s="53"/>
      <c r="B65" s="63"/>
      <c r="C65" s="30" t="s">
        <v>37</v>
      </c>
      <c r="D65" s="31"/>
      <c r="E65" s="28" t="s">
        <v>62</v>
      </c>
      <c r="F65" s="29"/>
      <c r="G65" s="5"/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3">
        <v>0</v>
      </c>
      <c r="AB65" s="5">
        <v>0</v>
      </c>
      <c r="AC65" s="5">
        <v>0</v>
      </c>
    </row>
    <row r="66" spans="1:29" x14ac:dyDescent="0.3">
      <c r="A66" s="53"/>
      <c r="B66" s="63"/>
      <c r="C66" s="30" t="s">
        <v>35</v>
      </c>
      <c r="D66" s="31"/>
      <c r="E66" s="28" t="s">
        <v>62</v>
      </c>
      <c r="F66" s="29"/>
      <c r="G66" s="5"/>
      <c r="H66" s="5">
        <v>2</v>
      </c>
      <c r="I66" s="5">
        <v>2</v>
      </c>
      <c r="J66" s="5">
        <v>2</v>
      </c>
      <c r="K66" s="5">
        <v>2</v>
      </c>
      <c r="L66" s="5">
        <v>2</v>
      </c>
      <c r="M66" s="5">
        <v>2</v>
      </c>
      <c r="N66" s="5">
        <v>2</v>
      </c>
      <c r="O66" s="5">
        <v>2</v>
      </c>
      <c r="P66" s="5">
        <v>2</v>
      </c>
      <c r="Q66" s="5">
        <v>2</v>
      </c>
      <c r="R66" s="5">
        <v>2</v>
      </c>
      <c r="S66" s="5">
        <v>2</v>
      </c>
      <c r="T66" s="5">
        <v>2</v>
      </c>
      <c r="U66" s="5">
        <v>2</v>
      </c>
      <c r="V66" s="5">
        <v>2</v>
      </c>
      <c r="W66" s="5">
        <v>2</v>
      </c>
      <c r="X66" s="5">
        <v>2</v>
      </c>
      <c r="Y66" s="5">
        <v>2</v>
      </c>
      <c r="Z66" s="5">
        <v>1</v>
      </c>
      <c r="AA66" s="3">
        <v>0</v>
      </c>
      <c r="AB66" s="5">
        <v>0</v>
      </c>
      <c r="AC66" s="5">
        <v>0</v>
      </c>
    </row>
    <row r="67" spans="1:29" x14ac:dyDescent="0.3">
      <c r="A67" s="53"/>
      <c r="B67" s="63"/>
      <c r="C67" s="30" t="s">
        <v>100</v>
      </c>
      <c r="D67" s="31"/>
      <c r="E67" s="28" t="s">
        <v>60</v>
      </c>
      <c r="F67" s="29"/>
      <c r="G67" s="5"/>
      <c r="H67" s="5">
        <v>3</v>
      </c>
      <c r="I67" s="5">
        <v>3</v>
      </c>
      <c r="J67" s="5">
        <v>3</v>
      </c>
      <c r="K67" s="5">
        <v>3</v>
      </c>
      <c r="L67" s="5">
        <v>3</v>
      </c>
      <c r="M67" s="5">
        <v>3</v>
      </c>
      <c r="N67" s="5">
        <v>3</v>
      </c>
      <c r="O67" s="5">
        <v>3</v>
      </c>
      <c r="P67" s="5">
        <v>3</v>
      </c>
      <c r="Q67" s="5">
        <v>3</v>
      </c>
      <c r="R67" s="5">
        <v>3</v>
      </c>
      <c r="S67" s="5">
        <v>3</v>
      </c>
      <c r="T67" s="5">
        <v>3</v>
      </c>
      <c r="U67" s="5">
        <v>3</v>
      </c>
      <c r="V67" s="5">
        <v>3</v>
      </c>
      <c r="W67" s="5">
        <v>3</v>
      </c>
      <c r="X67" s="5">
        <v>3</v>
      </c>
      <c r="Y67" s="5">
        <v>2</v>
      </c>
      <c r="Z67" s="5">
        <v>1</v>
      </c>
      <c r="AA67" s="3">
        <v>0</v>
      </c>
      <c r="AB67" s="5">
        <v>0</v>
      </c>
      <c r="AC67" s="5">
        <v>0</v>
      </c>
    </row>
    <row r="68" spans="1:29" x14ac:dyDescent="0.3">
      <c r="A68" s="53"/>
      <c r="B68" s="63"/>
      <c r="C68" s="30" t="s">
        <v>101</v>
      </c>
      <c r="D68" s="31"/>
      <c r="E68" s="28" t="s">
        <v>60</v>
      </c>
      <c r="F68" s="29"/>
      <c r="G68" s="5"/>
      <c r="H68" s="5">
        <v>3</v>
      </c>
      <c r="I68" s="5">
        <v>3</v>
      </c>
      <c r="J68" s="5">
        <v>3</v>
      </c>
      <c r="K68" s="5">
        <v>3</v>
      </c>
      <c r="L68" s="5">
        <v>3</v>
      </c>
      <c r="M68" s="5">
        <v>3</v>
      </c>
      <c r="N68" s="5">
        <v>3</v>
      </c>
      <c r="O68" s="5">
        <v>3</v>
      </c>
      <c r="P68" s="5">
        <v>3</v>
      </c>
      <c r="Q68" s="5">
        <v>3</v>
      </c>
      <c r="R68" s="5">
        <v>3</v>
      </c>
      <c r="S68" s="5">
        <v>3</v>
      </c>
      <c r="T68" s="5">
        <v>3</v>
      </c>
      <c r="U68" s="5">
        <v>3</v>
      </c>
      <c r="V68" s="5">
        <v>3</v>
      </c>
      <c r="W68" s="5">
        <v>3</v>
      </c>
      <c r="X68" s="5">
        <v>3</v>
      </c>
      <c r="Y68" s="5">
        <v>2</v>
      </c>
      <c r="Z68" s="5">
        <v>1</v>
      </c>
      <c r="AA68" s="3">
        <v>0</v>
      </c>
      <c r="AB68" s="5">
        <v>0</v>
      </c>
      <c r="AC68" s="5">
        <v>0</v>
      </c>
    </row>
    <row r="69" spans="1:29" x14ac:dyDescent="0.3">
      <c r="A69" s="53"/>
      <c r="B69" s="63"/>
      <c r="C69" s="30" t="s">
        <v>102</v>
      </c>
      <c r="D69" s="31"/>
      <c r="E69" s="28" t="s">
        <v>59</v>
      </c>
      <c r="F69" s="29"/>
      <c r="G69" s="5"/>
      <c r="H69" s="5">
        <v>2</v>
      </c>
      <c r="I69" s="5">
        <v>2</v>
      </c>
      <c r="J69" s="5">
        <v>2</v>
      </c>
      <c r="K69" s="5">
        <v>2</v>
      </c>
      <c r="L69" s="5">
        <v>2</v>
      </c>
      <c r="M69" s="5">
        <v>2</v>
      </c>
      <c r="N69" s="5">
        <v>2</v>
      </c>
      <c r="O69" s="5">
        <v>2</v>
      </c>
      <c r="P69" s="5">
        <v>2</v>
      </c>
      <c r="Q69" s="5">
        <v>2</v>
      </c>
      <c r="R69" s="5">
        <v>2</v>
      </c>
      <c r="S69" s="5">
        <v>2</v>
      </c>
      <c r="T69" s="5">
        <v>2</v>
      </c>
      <c r="U69" s="5">
        <v>2</v>
      </c>
      <c r="V69" s="5">
        <v>2</v>
      </c>
      <c r="W69" s="5">
        <v>2</v>
      </c>
      <c r="X69" s="5">
        <v>2</v>
      </c>
      <c r="Y69" s="5">
        <v>2</v>
      </c>
      <c r="Z69" s="5">
        <v>1</v>
      </c>
      <c r="AA69" s="3">
        <v>0</v>
      </c>
      <c r="AB69" s="5">
        <v>0</v>
      </c>
      <c r="AC69" s="5">
        <v>0</v>
      </c>
    </row>
    <row r="70" spans="1:29" x14ac:dyDescent="0.3">
      <c r="A70" s="53"/>
      <c r="B70" s="63"/>
      <c r="C70" s="30" t="s">
        <v>103</v>
      </c>
      <c r="D70" s="31"/>
      <c r="E70" s="28" t="s">
        <v>59</v>
      </c>
      <c r="F70" s="29"/>
      <c r="G70" s="5"/>
      <c r="H70" s="5">
        <v>2</v>
      </c>
      <c r="I70" s="5">
        <v>2</v>
      </c>
      <c r="J70" s="5">
        <v>2</v>
      </c>
      <c r="K70" s="5">
        <v>2</v>
      </c>
      <c r="L70" s="5">
        <v>2</v>
      </c>
      <c r="M70" s="5">
        <v>2</v>
      </c>
      <c r="N70" s="5">
        <v>2</v>
      </c>
      <c r="O70" s="5">
        <v>2</v>
      </c>
      <c r="P70" s="5">
        <v>2</v>
      </c>
      <c r="Q70" s="5">
        <v>2</v>
      </c>
      <c r="R70" s="5">
        <v>2</v>
      </c>
      <c r="S70" s="5">
        <v>2</v>
      </c>
      <c r="T70" s="5">
        <v>2</v>
      </c>
      <c r="U70" s="5">
        <v>2</v>
      </c>
      <c r="V70" s="5">
        <v>2</v>
      </c>
      <c r="W70" s="5">
        <v>2</v>
      </c>
      <c r="X70" s="5">
        <v>2</v>
      </c>
      <c r="Y70" s="5">
        <v>2</v>
      </c>
      <c r="Z70" s="5">
        <v>1</v>
      </c>
      <c r="AA70" s="3">
        <v>0</v>
      </c>
      <c r="AB70" s="5">
        <v>0</v>
      </c>
      <c r="AC70" s="5">
        <v>0</v>
      </c>
    </row>
    <row r="71" spans="1:29" x14ac:dyDescent="0.3">
      <c r="A71" s="53"/>
      <c r="B71" s="43" t="s">
        <v>25</v>
      </c>
      <c r="C71" s="54" t="s">
        <v>104</v>
      </c>
      <c r="D71" s="33"/>
      <c r="E71" s="28" t="s">
        <v>53</v>
      </c>
      <c r="F71" s="29"/>
      <c r="G71" s="5"/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  <c r="AB71" s="3">
        <v>0</v>
      </c>
      <c r="AC71" s="5">
        <v>0</v>
      </c>
    </row>
    <row r="72" spans="1:29" x14ac:dyDescent="0.3">
      <c r="A72" s="53"/>
      <c r="B72" s="53"/>
      <c r="C72" s="33" t="s">
        <v>105</v>
      </c>
      <c r="D72" s="33"/>
      <c r="E72" s="28" t="s">
        <v>62</v>
      </c>
      <c r="F72" s="29"/>
      <c r="G72" s="5"/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3">
        <v>0</v>
      </c>
      <c r="AC72" s="5">
        <v>0</v>
      </c>
    </row>
    <row r="73" spans="1:29" x14ac:dyDescent="0.3">
      <c r="A73" s="53"/>
      <c r="B73" s="53"/>
      <c r="C73" s="33" t="s">
        <v>106</v>
      </c>
      <c r="D73" s="33"/>
      <c r="E73" s="28" t="s">
        <v>60</v>
      </c>
      <c r="F73" s="29"/>
      <c r="G73" s="5"/>
      <c r="H73" s="5">
        <v>2</v>
      </c>
      <c r="I73" s="5">
        <v>2</v>
      </c>
      <c r="J73" s="5">
        <v>2</v>
      </c>
      <c r="K73" s="5">
        <v>2</v>
      </c>
      <c r="L73" s="5">
        <v>2</v>
      </c>
      <c r="M73" s="5">
        <v>2</v>
      </c>
      <c r="N73" s="5">
        <v>2</v>
      </c>
      <c r="O73" s="5">
        <v>2</v>
      </c>
      <c r="P73" s="5">
        <v>2</v>
      </c>
      <c r="Q73" s="5">
        <v>2</v>
      </c>
      <c r="R73" s="5">
        <v>2</v>
      </c>
      <c r="S73" s="5">
        <v>2</v>
      </c>
      <c r="T73" s="5">
        <v>2</v>
      </c>
      <c r="U73" s="5">
        <v>2</v>
      </c>
      <c r="V73" s="5">
        <v>2</v>
      </c>
      <c r="W73" s="5">
        <v>2</v>
      </c>
      <c r="X73" s="5">
        <v>2</v>
      </c>
      <c r="Y73" s="5">
        <v>2</v>
      </c>
      <c r="Z73" s="5">
        <v>2</v>
      </c>
      <c r="AA73" s="5">
        <v>1</v>
      </c>
      <c r="AB73" s="3">
        <v>0</v>
      </c>
      <c r="AC73" s="5">
        <v>0</v>
      </c>
    </row>
    <row r="74" spans="1:29" x14ac:dyDescent="0.3">
      <c r="A74" s="53"/>
      <c r="B74" s="53"/>
      <c r="C74" s="33" t="s">
        <v>107</v>
      </c>
      <c r="D74" s="33"/>
      <c r="E74" s="28" t="s">
        <v>61</v>
      </c>
      <c r="F74" s="29"/>
      <c r="G74" s="5"/>
      <c r="H74" s="5">
        <v>2</v>
      </c>
      <c r="I74" s="5">
        <v>2</v>
      </c>
      <c r="J74" s="5">
        <v>2</v>
      </c>
      <c r="K74" s="5">
        <v>2</v>
      </c>
      <c r="L74" s="5">
        <v>2</v>
      </c>
      <c r="M74" s="5">
        <v>2</v>
      </c>
      <c r="N74" s="5">
        <v>2</v>
      </c>
      <c r="O74" s="5">
        <v>2</v>
      </c>
      <c r="P74" s="5">
        <v>2</v>
      </c>
      <c r="Q74" s="5">
        <v>2</v>
      </c>
      <c r="R74" s="5">
        <v>2</v>
      </c>
      <c r="S74" s="5">
        <v>2</v>
      </c>
      <c r="T74" s="5">
        <v>2</v>
      </c>
      <c r="U74" s="5">
        <v>2</v>
      </c>
      <c r="V74" s="5">
        <v>2</v>
      </c>
      <c r="W74" s="5">
        <v>2</v>
      </c>
      <c r="X74" s="5">
        <v>2</v>
      </c>
      <c r="Y74" s="5">
        <v>2</v>
      </c>
      <c r="Z74" s="5">
        <v>2</v>
      </c>
      <c r="AA74" s="5">
        <v>1</v>
      </c>
      <c r="AB74" s="3">
        <v>0</v>
      </c>
      <c r="AC74" s="5">
        <v>0</v>
      </c>
    </row>
    <row r="75" spans="1:29" x14ac:dyDescent="0.3">
      <c r="A75" s="53"/>
      <c r="B75" s="53"/>
      <c r="C75" s="33" t="s">
        <v>108</v>
      </c>
      <c r="D75" s="33"/>
      <c r="E75" s="28" t="s">
        <v>59</v>
      </c>
      <c r="F75" s="29"/>
      <c r="G75" s="5"/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3">
        <v>0</v>
      </c>
      <c r="AC75" s="5">
        <v>0</v>
      </c>
    </row>
    <row r="76" spans="1:29" x14ac:dyDescent="0.3">
      <c r="A76" s="53"/>
      <c r="B76" s="53"/>
      <c r="C76" s="30" t="s">
        <v>39</v>
      </c>
      <c r="D76" s="31"/>
      <c r="E76" s="28" t="s">
        <v>59</v>
      </c>
      <c r="F76" s="29"/>
      <c r="G76" s="5"/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3">
        <v>0</v>
      </c>
      <c r="AC76" s="5">
        <v>0</v>
      </c>
    </row>
    <row r="77" spans="1:29" x14ac:dyDescent="0.3">
      <c r="A77" s="53"/>
      <c r="B77" s="53"/>
      <c r="C77" s="30" t="s">
        <v>40</v>
      </c>
      <c r="D77" s="31"/>
      <c r="E77" s="28" t="s">
        <v>60</v>
      </c>
      <c r="F77" s="29"/>
      <c r="G77" s="5"/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3">
        <v>0</v>
      </c>
      <c r="AC77" s="5">
        <v>0</v>
      </c>
    </row>
    <row r="78" spans="1:29" x14ac:dyDescent="0.3">
      <c r="A78" s="53"/>
      <c r="B78" s="53"/>
      <c r="C78" s="30" t="s">
        <v>38</v>
      </c>
      <c r="D78" s="31"/>
      <c r="E78" s="28" t="s">
        <v>113</v>
      </c>
      <c r="F78" s="29"/>
      <c r="G78" s="5"/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3">
        <v>0</v>
      </c>
      <c r="AC78" s="5">
        <v>0</v>
      </c>
    </row>
    <row r="79" spans="1:29" x14ac:dyDescent="0.3">
      <c r="A79" s="53"/>
      <c r="B79" s="53"/>
      <c r="C79" s="30" t="s">
        <v>109</v>
      </c>
      <c r="D79" s="31"/>
      <c r="E79" s="28" t="s">
        <v>61</v>
      </c>
      <c r="F79" s="29"/>
      <c r="G79" s="5"/>
      <c r="H79" s="5">
        <v>3</v>
      </c>
      <c r="I79" s="5">
        <v>3</v>
      </c>
      <c r="J79" s="5">
        <v>3</v>
      </c>
      <c r="K79" s="5">
        <v>3</v>
      </c>
      <c r="L79" s="5">
        <v>3</v>
      </c>
      <c r="M79" s="5">
        <v>3</v>
      </c>
      <c r="N79" s="5">
        <v>3</v>
      </c>
      <c r="O79" s="5">
        <v>3</v>
      </c>
      <c r="P79" s="5">
        <v>3</v>
      </c>
      <c r="Q79" s="5">
        <v>3</v>
      </c>
      <c r="R79" s="5">
        <v>3</v>
      </c>
      <c r="S79" s="5">
        <v>3</v>
      </c>
      <c r="T79" s="5">
        <v>3</v>
      </c>
      <c r="U79" s="5">
        <v>3</v>
      </c>
      <c r="V79" s="5">
        <v>3</v>
      </c>
      <c r="W79" s="5">
        <v>3</v>
      </c>
      <c r="X79" s="5">
        <v>3</v>
      </c>
      <c r="Y79" s="5">
        <v>3</v>
      </c>
      <c r="Z79" s="5">
        <v>2</v>
      </c>
      <c r="AA79" s="5">
        <v>1</v>
      </c>
      <c r="AB79" s="3">
        <v>0</v>
      </c>
      <c r="AC79" s="5">
        <v>0</v>
      </c>
    </row>
    <row r="80" spans="1:29" x14ac:dyDescent="0.3">
      <c r="A80" s="53"/>
      <c r="B80" s="53"/>
      <c r="C80" s="30" t="s">
        <v>110</v>
      </c>
      <c r="D80" s="31"/>
      <c r="E80" s="28" t="s">
        <v>53</v>
      </c>
      <c r="F80" s="29"/>
      <c r="G80" s="5"/>
      <c r="H80" s="5">
        <v>3</v>
      </c>
      <c r="I80" s="5">
        <v>3</v>
      </c>
      <c r="J80" s="5">
        <v>3</v>
      </c>
      <c r="K80" s="5">
        <v>3</v>
      </c>
      <c r="L80" s="5">
        <v>3</v>
      </c>
      <c r="M80" s="5">
        <v>3</v>
      </c>
      <c r="N80" s="5">
        <v>3</v>
      </c>
      <c r="O80" s="5">
        <v>3</v>
      </c>
      <c r="P80" s="5">
        <v>3</v>
      </c>
      <c r="Q80" s="5">
        <v>3</v>
      </c>
      <c r="R80" s="5">
        <v>3</v>
      </c>
      <c r="S80" s="5">
        <v>3</v>
      </c>
      <c r="T80" s="5">
        <v>3</v>
      </c>
      <c r="U80" s="5">
        <v>3</v>
      </c>
      <c r="V80" s="5">
        <v>3</v>
      </c>
      <c r="W80" s="5">
        <v>3</v>
      </c>
      <c r="X80" s="5">
        <v>3</v>
      </c>
      <c r="Y80" s="5">
        <v>3</v>
      </c>
      <c r="Z80" s="5">
        <v>2</v>
      </c>
      <c r="AA80" s="5">
        <v>1</v>
      </c>
      <c r="AB80" s="3">
        <v>0</v>
      </c>
      <c r="AC80" s="5">
        <v>0</v>
      </c>
    </row>
    <row r="81" spans="1:29" x14ac:dyDescent="0.3">
      <c r="A81" s="53"/>
      <c r="B81" s="53"/>
      <c r="C81" s="30" t="s">
        <v>111</v>
      </c>
      <c r="D81" s="31"/>
      <c r="E81" s="28" t="s">
        <v>53</v>
      </c>
      <c r="F81" s="29"/>
      <c r="G81" s="5"/>
      <c r="H81" s="5">
        <v>3</v>
      </c>
      <c r="I81" s="5">
        <v>3</v>
      </c>
      <c r="J81" s="5">
        <v>3</v>
      </c>
      <c r="K81" s="5">
        <v>3</v>
      </c>
      <c r="L81" s="5">
        <v>3</v>
      </c>
      <c r="M81" s="5">
        <v>3</v>
      </c>
      <c r="N81" s="5">
        <v>3</v>
      </c>
      <c r="O81" s="5">
        <v>3</v>
      </c>
      <c r="P81" s="5">
        <v>3</v>
      </c>
      <c r="Q81" s="5">
        <v>3</v>
      </c>
      <c r="R81" s="5">
        <v>3</v>
      </c>
      <c r="S81" s="5">
        <v>3</v>
      </c>
      <c r="T81" s="5">
        <v>3</v>
      </c>
      <c r="U81" s="5">
        <v>3</v>
      </c>
      <c r="V81" s="5">
        <v>3</v>
      </c>
      <c r="W81" s="5">
        <v>3</v>
      </c>
      <c r="X81" s="5">
        <v>3</v>
      </c>
      <c r="Y81" s="5">
        <v>3</v>
      </c>
      <c r="Z81" s="5">
        <v>2</v>
      </c>
      <c r="AA81" s="5">
        <v>1</v>
      </c>
      <c r="AB81" s="3">
        <v>0</v>
      </c>
      <c r="AC81" s="5">
        <v>0</v>
      </c>
    </row>
    <row r="82" spans="1:29" x14ac:dyDescent="0.3">
      <c r="A82" s="53"/>
      <c r="B82" s="53"/>
      <c r="C82" s="30" t="s">
        <v>112</v>
      </c>
      <c r="D82" s="31"/>
      <c r="E82" s="28" t="s">
        <v>62</v>
      </c>
      <c r="F82" s="29"/>
      <c r="G82" s="5"/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3">
        <v>0</v>
      </c>
      <c r="AC82" s="5">
        <v>0</v>
      </c>
    </row>
    <row r="83" spans="1:29" x14ac:dyDescent="0.3">
      <c r="A83" s="53"/>
      <c r="B83" s="43" t="s">
        <v>26</v>
      </c>
      <c r="C83" s="54" t="s">
        <v>114</v>
      </c>
      <c r="D83" s="33"/>
      <c r="E83" s="28" t="s">
        <v>61</v>
      </c>
      <c r="F83" s="29"/>
      <c r="G83" s="5"/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3">
        <v>0</v>
      </c>
    </row>
    <row r="84" spans="1:29" x14ac:dyDescent="0.3">
      <c r="A84" s="53"/>
      <c r="B84" s="53"/>
      <c r="C84" s="33" t="s">
        <v>115</v>
      </c>
      <c r="D84" s="33"/>
      <c r="E84" s="28" t="s">
        <v>61</v>
      </c>
      <c r="F84" s="29"/>
      <c r="G84" s="5"/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3">
        <v>0</v>
      </c>
    </row>
    <row r="85" spans="1:29" x14ac:dyDescent="0.3">
      <c r="A85" s="53"/>
      <c r="B85" s="53"/>
      <c r="C85" s="33" t="s">
        <v>116</v>
      </c>
      <c r="D85" s="33"/>
      <c r="E85" s="28" t="s">
        <v>53</v>
      </c>
      <c r="F85" s="29"/>
      <c r="G85" s="5"/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3">
        <v>0</v>
      </c>
    </row>
    <row r="86" spans="1:29" x14ac:dyDescent="0.3">
      <c r="A86" s="53"/>
      <c r="B86" s="53"/>
      <c r="C86" s="33" t="s">
        <v>117</v>
      </c>
      <c r="D86" s="33"/>
      <c r="E86" s="28" t="s">
        <v>53</v>
      </c>
      <c r="F86" s="29"/>
      <c r="G86" s="5"/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3">
        <v>0</v>
      </c>
    </row>
    <row r="87" spans="1:29" ht="16.8" customHeight="1" x14ac:dyDescent="0.3">
      <c r="A87" s="53"/>
      <c r="B87" s="53"/>
      <c r="C87" s="33" t="s">
        <v>118</v>
      </c>
      <c r="D87" s="33"/>
      <c r="E87" s="28" t="s">
        <v>62</v>
      </c>
      <c r="F87" s="29"/>
      <c r="G87" s="5"/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3">
        <v>0</v>
      </c>
    </row>
    <row r="88" spans="1:29" x14ac:dyDescent="0.3">
      <c r="A88" s="53"/>
      <c r="B88" s="53"/>
      <c r="C88" s="30" t="s">
        <v>41</v>
      </c>
      <c r="D88" s="31"/>
      <c r="E88" s="28" t="s">
        <v>62</v>
      </c>
      <c r="F88" s="29"/>
      <c r="G88" s="5"/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3">
        <v>0</v>
      </c>
    </row>
    <row r="89" spans="1:29" x14ac:dyDescent="0.3">
      <c r="A89" s="53"/>
      <c r="B89" s="53"/>
      <c r="C89" s="30" t="s">
        <v>119</v>
      </c>
      <c r="D89" s="31"/>
      <c r="E89" s="28" t="s">
        <v>60</v>
      </c>
      <c r="F89" s="29"/>
      <c r="G89" s="5"/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5">
        <v>1</v>
      </c>
      <c r="AC89" s="3">
        <v>0</v>
      </c>
    </row>
    <row r="90" spans="1:29" x14ac:dyDescent="0.3">
      <c r="A90" s="53"/>
      <c r="B90" s="53"/>
      <c r="C90" s="30" t="s">
        <v>120</v>
      </c>
      <c r="D90" s="31"/>
      <c r="E90" s="28" t="s">
        <v>60</v>
      </c>
      <c r="F90" s="29"/>
      <c r="G90" s="5"/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1</v>
      </c>
      <c r="W90" s="5">
        <v>1</v>
      </c>
      <c r="X90" s="5">
        <v>1</v>
      </c>
      <c r="Y90" s="5">
        <v>1</v>
      </c>
      <c r="Z90" s="5">
        <v>1</v>
      </c>
      <c r="AA90" s="5">
        <v>1</v>
      </c>
      <c r="AB90" s="5">
        <v>1</v>
      </c>
      <c r="AC90" s="3">
        <v>0</v>
      </c>
    </row>
    <row r="91" spans="1:29" x14ac:dyDescent="0.3">
      <c r="A91" s="53"/>
      <c r="B91" s="53"/>
      <c r="C91" s="30" t="s">
        <v>121</v>
      </c>
      <c r="D91" s="31"/>
      <c r="E91" s="28" t="s">
        <v>59</v>
      </c>
      <c r="F91" s="29"/>
      <c r="G91" s="5"/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3">
        <v>0</v>
      </c>
    </row>
    <row r="92" spans="1:29" x14ac:dyDescent="0.3">
      <c r="A92" s="53"/>
      <c r="B92" s="53"/>
      <c r="C92" s="30" t="s">
        <v>122</v>
      </c>
      <c r="D92" s="31"/>
      <c r="E92" s="28" t="s">
        <v>59</v>
      </c>
      <c r="F92" s="29"/>
      <c r="G92" s="5"/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3">
        <v>0</v>
      </c>
    </row>
    <row r="93" spans="1:29" x14ac:dyDescent="0.3">
      <c r="A93" s="53"/>
      <c r="B93" s="63" t="s">
        <v>27</v>
      </c>
      <c r="C93" s="33" t="s">
        <v>28</v>
      </c>
      <c r="D93" s="33"/>
      <c r="E93" s="28" t="s">
        <v>34</v>
      </c>
      <c r="F93" s="29"/>
      <c r="G93" s="5"/>
      <c r="H93" s="5">
        <v>5</v>
      </c>
      <c r="I93" s="5">
        <v>5</v>
      </c>
      <c r="J93" s="5">
        <v>5</v>
      </c>
      <c r="K93" s="5">
        <v>5</v>
      </c>
      <c r="L93" s="5">
        <v>5</v>
      </c>
      <c r="M93" s="5">
        <v>5</v>
      </c>
      <c r="N93" s="5">
        <v>5</v>
      </c>
      <c r="O93" s="5">
        <v>5</v>
      </c>
      <c r="P93" s="5">
        <v>5</v>
      </c>
      <c r="Q93" s="5">
        <v>5</v>
      </c>
      <c r="R93" s="5">
        <v>5</v>
      </c>
      <c r="S93" s="5">
        <v>5</v>
      </c>
      <c r="T93" s="5">
        <v>5</v>
      </c>
      <c r="U93" s="5">
        <v>5</v>
      </c>
      <c r="V93" s="5">
        <v>5</v>
      </c>
      <c r="W93" s="5">
        <v>5</v>
      </c>
      <c r="X93" s="5">
        <v>5</v>
      </c>
      <c r="Y93" s="5">
        <v>5</v>
      </c>
      <c r="Z93" s="5">
        <v>5</v>
      </c>
      <c r="AA93" s="5">
        <v>5</v>
      </c>
      <c r="AB93" s="5">
        <v>5</v>
      </c>
      <c r="AC93" s="6">
        <v>0</v>
      </c>
    </row>
    <row r="94" spans="1:29" x14ac:dyDescent="0.3">
      <c r="A94" s="53"/>
      <c r="B94" s="63"/>
      <c r="C94" s="33" t="s">
        <v>29</v>
      </c>
      <c r="D94" s="33"/>
      <c r="E94" s="45" t="s">
        <v>34</v>
      </c>
      <c r="F94" s="46"/>
      <c r="G94" s="5"/>
      <c r="H94" s="5">
        <v>5</v>
      </c>
      <c r="I94" s="5">
        <v>5</v>
      </c>
      <c r="J94" s="5">
        <v>5</v>
      </c>
      <c r="K94" s="5">
        <v>5</v>
      </c>
      <c r="L94" s="5">
        <v>5</v>
      </c>
      <c r="M94" s="5">
        <v>5</v>
      </c>
      <c r="N94" s="5">
        <v>5</v>
      </c>
      <c r="O94" s="5">
        <v>5</v>
      </c>
      <c r="P94" s="5">
        <v>5</v>
      </c>
      <c r="Q94" s="5">
        <v>5</v>
      </c>
      <c r="R94" s="5">
        <v>5</v>
      </c>
      <c r="S94" s="5">
        <v>5</v>
      </c>
      <c r="T94" s="5">
        <v>5</v>
      </c>
      <c r="U94" s="5">
        <v>5</v>
      </c>
      <c r="V94" s="5">
        <v>5</v>
      </c>
      <c r="W94" s="5">
        <v>5</v>
      </c>
      <c r="X94" s="5">
        <v>5</v>
      </c>
      <c r="Y94" s="5">
        <v>5</v>
      </c>
      <c r="Z94" s="5">
        <v>5</v>
      </c>
      <c r="AA94" s="5">
        <v>5</v>
      </c>
      <c r="AB94" s="5">
        <v>5</v>
      </c>
      <c r="AC94" s="6">
        <v>0</v>
      </c>
    </row>
    <row r="95" spans="1:29" x14ac:dyDescent="0.3">
      <c r="A95" s="53"/>
      <c r="B95" s="47" t="s">
        <v>13</v>
      </c>
      <c r="C95" s="48"/>
      <c r="D95" s="49"/>
      <c r="E95" s="36" t="s">
        <v>11</v>
      </c>
      <c r="F95" s="37"/>
      <c r="G95" s="66"/>
      <c r="H95" s="66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x14ac:dyDescent="0.3">
      <c r="A96" s="44"/>
      <c r="B96" s="50"/>
      <c r="C96" s="51"/>
      <c r="D96" s="52"/>
      <c r="E96" s="36" t="s">
        <v>12</v>
      </c>
      <c r="F96" s="37"/>
      <c r="G96" s="66">
        <f>SUM(H16:H94)</f>
        <v>215</v>
      </c>
      <c r="H96" s="66"/>
      <c r="I96" s="4">
        <f t="shared" ref="I96:AC96" si="1">SUM(I16:I94)</f>
        <v>255</v>
      </c>
      <c r="J96" s="5">
        <f t="shared" si="1"/>
        <v>238</v>
      </c>
      <c r="K96" s="5">
        <f t="shared" si="1"/>
        <v>230</v>
      </c>
      <c r="L96" s="5">
        <f t="shared" si="1"/>
        <v>220</v>
      </c>
      <c r="M96" s="5">
        <f t="shared" si="1"/>
        <v>208</v>
      </c>
      <c r="N96" s="5">
        <f t="shared" si="1"/>
        <v>199</v>
      </c>
      <c r="O96" s="5">
        <f t="shared" si="1"/>
        <v>196</v>
      </c>
      <c r="P96" s="5">
        <f t="shared" si="1"/>
        <v>186</v>
      </c>
      <c r="Q96" s="5">
        <f t="shared" si="1"/>
        <v>169</v>
      </c>
      <c r="R96" s="5">
        <f t="shared" si="1"/>
        <v>158</v>
      </c>
      <c r="S96" s="5">
        <f t="shared" si="1"/>
        <v>142</v>
      </c>
      <c r="T96" s="5">
        <f t="shared" si="1"/>
        <v>121</v>
      </c>
      <c r="U96" s="5">
        <f t="shared" si="1"/>
        <v>107</v>
      </c>
      <c r="V96" s="5">
        <f t="shared" si="1"/>
        <v>95</v>
      </c>
      <c r="W96" s="5">
        <f t="shared" si="1"/>
        <v>86</v>
      </c>
      <c r="X96" s="5">
        <f t="shared" si="1"/>
        <v>75</v>
      </c>
      <c r="Y96" s="5">
        <f t="shared" si="1"/>
        <v>66</v>
      </c>
      <c r="Z96" s="5">
        <f t="shared" si="1"/>
        <v>47</v>
      </c>
      <c r="AA96" s="5">
        <f t="shared" si="1"/>
        <v>32</v>
      </c>
      <c r="AB96" s="5">
        <f t="shared" si="1"/>
        <v>20</v>
      </c>
      <c r="AC96" s="5">
        <f t="shared" si="1"/>
        <v>0</v>
      </c>
    </row>
    <row r="101" spans="1:40" ht="55.2" x14ac:dyDescent="0.3">
      <c r="A101" s="17" t="s">
        <v>14</v>
      </c>
      <c r="B101" s="17" t="s">
        <v>15</v>
      </c>
      <c r="C101" s="59" t="s">
        <v>16</v>
      </c>
      <c r="D101" s="59"/>
      <c r="E101" s="60" t="s">
        <v>17</v>
      </c>
      <c r="F101" s="61"/>
      <c r="G101" s="18" t="s">
        <v>11</v>
      </c>
      <c r="H101" s="18" t="s">
        <v>12</v>
      </c>
      <c r="I101" s="19">
        <v>45961</v>
      </c>
      <c r="J101" s="19">
        <v>45962</v>
      </c>
      <c r="K101" s="19">
        <v>45963</v>
      </c>
      <c r="L101" s="19">
        <v>45964</v>
      </c>
      <c r="M101" s="19">
        <v>45965</v>
      </c>
      <c r="N101" s="19">
        <v>45966</v>
      </c>
      <c r="O101" s="19">
        <v>45967</v>
      </c>
      <c r="P101" s="19">
        <v>45968</v>
      </c>
      <c r="Q101" s="19">
        <v>45969</v>
      </c>
      <c r="R101" s="19">
        <v>45970</v>
      </c>
      <c r="S101" s="19">
        <v>45971</v>
      </c>
      <c r="T101" s="19">
        <v>45972</v>
      </c>
      <c r="U101" s="19">
        <v>45973</v>
      </c>
      <c r="V101" s="19">
        <v>45974</v>
      </c>
      <c r="W101" s="19">
        <v>45975</v>
      </c>
      <c r="X101" s="19">
        <v>45976</v>
      </c>
      <c r="Y101" s="19">
        <v>45977</v>
      </c>
      <c r="Z101" s="19">
        <v>45978</v>
      </c>
      <c r="AA101" s="19">
        <v>45979</v>
      </c>
      <c r="AB101" s="19">
        <v>45980</v>
      </c>
      <c r="AC101" s="19">
        <v>45981</v>
      </c>
    </row>
    <row r="102" spans="1:40" x14ac:dyDescent="0.3">
      <c r="A102" s="43" t="s">
        <v>3</v>
      </c>
      <c r="B102" s="30" t="s">
        <v>18</v>
      </c>
      <c r="C102" s="62"/>
      <c r="D102" s="31"/>
      <c r="E102" s="42" t="s">
        <v>34</v>
      </c>
      <c r="F102" s="42"/>
      <c r="G102" s="5">
        <v>8</v>
      </c>
      <c r="H102" s="5"/>
      <c r="I102" s="3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spans="1:40" x14ac:dyDescent="0.3">
      <c r="A103" s="53"/>
      <c r="B103" s="30" t="s">
        <v>19</v>
      </c>
      <c r="C103" s="62"/>
      <c r="D103" s="31"/>
      <c r="E103" s="42" t="s">
        <v>53</v>
      </c>
      <c r="F103" s="42"/>
      <c r="G103" s="5">
        <v>8</v>
      </c>
      <c r="H103" s="5"/>
      <c r="I103" s="5">
        <v>4</v>
      </c>
      <c r="J103" s="3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spans="1:40" x14ac:dyDescent="0.3">
      <c r="A104" s="53"/>
      <c r="B104" s="30" t="s">
        <v>20</v>
      </c>
      <c r="C104" s="62"/>
      <c r="D104" s="31"/>
      <c r="E104" s="42" t="s">
        <v>54</v>
      </c>
      <c r="F104" s="42"/>
      <c r="G104" s="5">
        <v>20</v>
      </c>
      <c r="H104" s="5"/>
      <c r="I104" s="5">
        <v>20</v>
      </c>
      <c r="J104" s="5">
        <v>16</v>
      </c>
      <c r="K104" s="5">
        <v>12</v>
      </c>
      <c r="L104" s="5">
        <v>8</v>
      </c>
      <c r="M104" s="5">
        <v>4</v>
      </c>
      <c r="N104" s="3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J104" s="32"/>
      <c r="AK104" s="32"/>
      <c r="AL104" s="32"/>
      <c r="AM104" s="32"/>
      <c r="AN104" s="32"/>
    </row>
    <row r="105" spans="1:40" x14ac:dyDescent="0.3">
      <c r="A105" s="53"/>
      <c r="B105" s="34" t="s">
        <v>49</v>
      </c>
      <c r="C105" s="38"/>
      <c r="D105" s="39"/>
      <c r="E105" s="40" t="s">
        <v>34</v>
      </c>
      <c r="F105" s="41"/>
      <c r="G105" s="5">
        <v>8</v>
      </c>
      <c r="H105" s="5"/>
      <c r="I105" s="5">
        <v>4</v>
      </c>
      <c r="J105" s="3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J105" s="32"/>
      <c r="AK105" s="32"/>
      <c r="AL105" s="32"/>
      <c r="AM105" s="32"/>
      <c r="AN105" s="32"/>
    </row>
    <row r="106" spans="1:40" x14ac:dyDescent="0.3">
      <c r="A106" s="53"/>
      <c r="B106" s="34" t="s">
        <v>50</v>
      </c>
      <c r="C106" s="38"/>
      <c r="D106" s="39"/>
      <c r="E106" s="42" t="s">
        <v>53</v>
      </c>
      <c r="F106" s="42"/>
      <c r="G106" s="5">
        <v>4</v>
      </c>
      <c r="H106" s="5"/>
      <c r="I106" s="5">
        <v>4</v>
      </c>
      <c r="J106" s="3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40" ht="16.8" customHeight="1" x14ac:dyDescent="0.3">
      <c r="A107" s="53"/>
      <c r="B107" s="43" t="s">
        <v>21</v>
      </c>
      <c r="C107" s="33" t="s">
        <v>55</v>
      </c>
      <c r="D107" s="33"/>
      <c r="E107" s="28" t="s">
        <v>59</v>
      </c>
      <c r="F107" s="29"/>
      <c r="G107" s="5">
        <v>1</v>
      </c>
      <c r="H107" s="5"/>
      <c r="I107" s="5">
        <v>2</v>
      </c>
      <c r="J107" s="5">
        <v>2</v>
      </c>
      <c r="K107" s="3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</row>
    <row r="108" spans="1:40" ht="16.8" customHeight="1" x14ac:dyDescent="0.3">
      <c r="A108" s="53"/>
      <c r="B108" s="53"/>
      <c r="C108" s="28"/>
      <c r="D108" s="29"/>
      <c r="E108" s="28"/>
      <c r="F108" s="29"/>
      <c r="G108" s="5"/>
      <c r="H108" s="5"/>
      <c r="I108" s="5"/>
      <c r="J108" s="5"/>
      <c r="K108" s="24">
        <v>-1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40" x14ac:dyDescent="0.3">
      <c r="A109" s="53"/>
      <c r="B109" s="53"/>
      <c r="C109" s="33" t="s">
        <v>56</v>
      </c>
      <c r="D109" s="33"/>
      <c r="E109" s="28" t="s">
        <v>59</v>
      </c>
      <c r="F109" s="29"/>
      <c r="G109" s="5">
        <v>1</v>
      </c>
      <c r="H109" s="5"/>
      <c r="I109" s="5">
        <v>2</v>
      </c>
      <c r="J109" s="5">
        <v>2</v>
      </c>
      <c r="K109" s="3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40" x14ac:dyDescent="0.3">
      <c r="A110" s="53"/>
      <c r="B110" s="53"/>
      <c r="C110" s="28"/>
      <c r="D110" s="29"/>
      <c r="E110" s="28"/>
      <c r="F110" s="29"/>
      <c r="G110" s="5"/>
      <c r="H110" s="5"/>
      <c r="I110" s="5"/>
      <c r="J110" s="5"/>
      <c r="K110" s="24">
        <v>-1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40" x14ac:dyDescent="0.3">
      <c r="A111" s="53"/>
      <c r="B111" s="53"/>
      <c r="C111" s="33" t="s">
        <v>70</v>
      </c>
      <c r="D111" s="33"/>
      <c r="E111" s="28" t="s">
        <v>60</v>
      </c>
      <c r="F111" s="29"/>
      <c r="G111" s="5">
        <v>3</v>
      </c>
      <c r="H111" s="5"/>
      <c r="I111" s="5">
        <v>3</v>
      </c>
      <c r="J111" s="5">
        <v>2</v>
      </c>
      <c r="K111" s="5">
        <v>1</v>
      </c>
      <c r="L111" s="3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40" x14ac:dyDescent="0.3">
      <c r="A112" s="53"/>
      <c r="B112" s="53"/>
      <c r="C112" s="33" t="s">
        <v>57</v>
      </c>
      <c r="D112" s="33"/>
      <c r="E112" s="28" t="s">
        <v>61</v>
      </c>
      <c r="F112" s="29"/>
      <c r="G112" s="5">
        <v>4</v>
      </c>
      <c r="H112" s="5"/>
      <c r="I112" s="5">
        <v>4</v>
      </c>
      <c r="J112" s="5">
        <v>2</v>
      </c>
      <c r="K112" s="5">
        <v>1</v>
      </c>
      <c r="L112" s="3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3">
      <c r="A113" s="53"/>
      <c r="B113" s="53"/>
      <c r="C113" s="30" t="s">
        <v>58</v>
      </c>
      <c r="D113" s="31"/>
      <c r="E113" s="28" t="s">
        <v>53</v>
      </c>
      <c r="F113" s="29"/>
      <c r="G113" s="5">
        <v>4</v>
      </c>
      <c r="H113" s="5"/>
      <c r="I113" s="5">
        <v>4</v>
      </c>
      <c r="J113" s="5">
        <v>3</v>
      </c>
      <c r="K113" s="5">
        <v>2</v>
      </c>
      <c r="L113" s="5">
        <v>1</v>
      </c>
      <c r="M113" s="3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3">
      <c r="A114" s="53"/>
      <c r="B114" s="53"/>
      <c r="C114" s="33" t="s">
        <v>63</v>
      </c>
      <c r="D114" s="33"/>
      <c r="E114" s="28" t="s">
        <v>62</v>
      </c>
      <c r="F114" s="29"/>
      <c r="G114" s="5">
        <v>2</v>
      </c>
      <c r="H114" s="5"/>
      <c r="I114" s="5">
        <v>2</v>
      </c>
      <c r="J114" s="5">
        <v>2</v>
      </c>
      <c r="K114" s="5">
        <v>2</v>
      </c>
      <c r="L114" s="5">
        <v>1</v>
      </c>
      <c r="M114" s="3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x14ac:dyDescent="0.3">
      <c r="A115" s="53"/>
      <c r="B115" s="53"/>
      <c r="C115" s="33" t="s">
        <v>64</v>
      </c>
      <c r="D115" s="33"/>
      <c r="E115" s="28" t="s">
        <v>59</v>
      </c>
      <c r="F115" s="29"/>
      <c r="G115" s="5">
        <v>3</v>
      </c>
      <c r="H115" s="5"/>
      <c r="I115" s="5">
        <v>3</v>
      </c>
      <c r="J115" s="5">
        <v>3</v>
      </c>
      <c r="K115" s="5">
        <v>3</v>
      </c>
      <c r="L115" s="5">
        <v>2</v>
      </c>
      <c r="M115" s="5">
        <v>2</v>
      </c>
      <c r="N115" s="3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x14ac:dyDescent="0.3">
      <c r="A116" s="53"/>
      <c r="B116" s="53"/>
      <c r="C116" s="33" t="s">
        <v>65</v>
      </c>
      <c r="D116" s="33"/>
      <c r="E116" s="28" t="s">
        <v>60</v>
      </c>
      <c r="F116" s="29"/>
      <c r="G116" s="5">
        <v>3</v>
      </c>
      <c r="H116" s="5"/>
      <c r="I116" s="5">
        <v>3</v>
      </c>
      <c r="J116" s="5">
        <v>3</v>
      </c>
      <c r="K116" s="5">
        <v>3</v>
      </c>
      <c r="L116" s="5">
        <v>3</v>
      </c>
      <c r="M116" s="5">
        <v>2</v>
      </c>
      <c r="N116" s="5">
        <v>2</v>
      </c>
      <c r="O116" s="3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3">
      <c r="A117" s="53"/>
      <c r="B117" s="53"/>
      <c r="C117" s="30" t="s">
        <v>66</v>
      </c>
      <c r="D117" s="31"/>
      <c r="E117" s="28" t="s">
        <v>60</v>
      </c>
      <c r="F117" s="29"/>
      <c r="G117" s="5">
        <v>3</v>
      </c>
      <c r="H117" s="5"/>
      <c r="I117" s="5">
        <v>4</v>
      </c>
      <c r="J117" s="5">
        <v>4</v>
      </c>
      <c r="K117" s="5">
        <v>4</v>
      </c>
      <c r="L117" s="5">
        <v>4</v>
      </c>
      <c r="M117" s="5">
        <v>3</v>
      </c>
      <c r="N117" s="5">
        <v>2</v>
      </c>
      <c r="O117" s="5">
        <v>2</v>
      </c>
      <c r="P117" s="3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3">
      <c r="A118" s="53"/>
      <c r="B118" s="53"/>
      <c r="C118" s="28"/>
      <c r="D118" s="29"/>
      <c r="E118" s="28"/>
      <c r="F118" s="29"/>
      <c r="G118" s="5"/>
      <c r="H118" s="5"/>
      <c r="I118" s="5"/>
      <c r="J118" s="5"/>
      <c r="K118" s="5"/>
      <c r="L118" s="5"/>
      <c r="M118" s="5"/>
      <c r="N118" s="5"/>
      <c r="O118" s="5"/>
      <c r="P118" s="24">
        <v>-1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x14ac:dyDescent="0.3">
      <c r="A119" s="53"/>
      <c r="B119" s="53"/>
      <c r="C119" s="30" t="s">
        <v>67</v>
      </c>
      <c r="D119" s="31"/>
      <c r="E119" s="28" t="s">
        <v>61</v>
      </c>
      <c r="F119" s="29"/>
      <c r="G119" s="5">
        <v>4</v>
      </c>
      <c r="H119" s="5"/>
      <c r="I119" s="5">
        <v>4</v>
      </c>
      <c r="J119" s="5">
        <v>4</v>
      </c>
      <c r="K119" s="5">
        <v>4</v>
      </c>
      <c r="L119" s="5">
        <v>4</v>
      </c>
      <c r="M119" s="5">
        <v>4</v>
      </c>
      <c r="N119" s="5">
        <v>2</v>
      </c>
      <c r="O119" s="5">
        <v>2</v>
      </c>
      <c r="P119" s="3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3">
      <c r="A120" s="53"/>
      <c r="B120" s="53"/>
      <c r="C120" s="30" t="s">
        <v>68</v>
      </c>
      <c r="D120" s="31"/>
      <c r="E120" s="28" t="s">
        <v>53</v>
      </c>
      <c r="F120" s="29"/>
      <c r="G120" s="5">
        <v>5</v>
      </c>
      <c r="H120" s="5"/>
      <c r="I120" s="5">
        <v>4</v>
      </c>
      <c r="J120" s="5">
        <v>4</v>
      </c>
      <c r="K120" s="5">
        <v>4</v>
      </c>
      <c r="L120" s="5">
        <v>4</v>
      </c>
      <c r="M120" s="5">
        <v>4</v>
      </c>
      <c r="N120" s="5">
        <v>3</v>
      </c>
      <c r="O120" s="5">
        <v>2</v>
      </c>
      <c r="P120" s="5">
        <v>2</v>
      </c>
      <c r="Q120" s="3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3">
      <c r="A121" s="53"/>
      <c r="B121" s="53"/>
      <c r="C121" s="28"/>
      <c r="D121" s="29"/>
      <c r="E121" s="28"/>
      <c r="F121" s="29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26">
        <v>1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x14ac:dyDescent="0.3">
      <c r="A122" s="53"/>
      <c r="B122" s="53"/>
      <c r="C122" s="34" t="s">
        <v>69</v>
      </c>
      <c r="D122" s="35"/>
      <c r="E122" s="28" t="s">
        <v>62</v>
      </c>
      <c r="F122" s="29"/>
      <c r="G122" s="5">
        <v>4</v>
      </c>
      <c r="H122" s="5"/>
      <c r="I122" s="5">
        <v>4</v>
      </c>
      <c r="J122" s="5">
        <v>4</v>
      </c>
      <c r="K122" s="5">
        <v>4</v>
      </c>
      <c r="L122" s="5">
        <v>4</v>
      </c>
      <c r="M122" s="5">
        <v>4</v>
      </c>
      <c r="N122" s="5">
        <v>4</v>
      </c>
      <c r="O122" s="5">
        <v>2</v>
      </c>
      <c r="P122" s="5">
        <v>2</v>
      </c>
      <c r="Q122" s="3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3">
      <c r="A123" s="53"/>
      <c r="B123" s="53"/>
      <c r="C123" s="30" t="s">
        <v>31</v>
      </c>
      <c r="D123" s="31"/>
      <c r="E123" s="28" t="s">
        <v>59</v>
      </c>
      <c r="F123" s="29"/>
      <c r="G123" s="5">
        <v>4</v>
      </c>
      <c r="H123" s="5"/>
      <c r="I123" s="5">
        <v>4</v>
      </c>
      <c r="J123" s="5">
        <v>4</v>
      </c>
      <c r="K123" s="5">
        <v>4</v>
      </c>
      <c r="L123" s="5">
        <v>4</v>
      </c>
      <c r="M123" s="5">
        <v>4</v>
      </c>
      <c r="N123" s="5">
        <v>4</v>
      </c>
      <c r="O123" s="5">
        <v>4</v>
      </c>
      <c r="P123" s="5">
        <v>3</v>
      </c>
      <c r="Q123" s="3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3">
      <c r="A124" s="53"/>
      <c r="B124" s="44"/>
      <c r="C124" s="34" t="s">
        <v>33</v>
      </c>
      <c r="D124" s="35"/>
      <c r="E124" s="28" t="s">
        <v>34</v>
      </c>
      <c r="F124" s="29"/>
      <c r="G124" s="5">
        <v>12</v>
      </c>
      <c r="H124" s="5"/>
      <c r="I124" s="5">
        <v>12</v>
      </c>
      <c r="J124" s="5">
        <v>12</v>
      </c>
      <c r="K124" s="5">
        <v>12</v>
      </c>
      <c r="L124" s="5">
        <v>12</v>
      </c>
      <c r="M124" s="5">
        <v>10</v>
      </c>
      <c r="N124" s="5">
        <v>8</v>
      </c>
      <c r="O124" s="5">
        <v>6</v>
      </c>
      <c r="P124" s="5">
        <v>4</v>
      </c>
      <c r="Q124" s="5">
        <v>2</v>
      </c>
      <c r="R124" s="3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3">
      <c r="A125" s="53"/>
      <c r="B125" s="43" t="s">
        <v>22</v>
      </c>
      <c r="C125" s="33" t="s">
        <v>71</v>
      </c>
      <c r="D125" s="33"/>
      <c r="E125" s="28" t="s">
        <v>61</v>
      </c>
      <c r="F125" s="29"/>
      <c r="G125" s="5">
        <v>2</v>
      </c>
      <c r="H125" s="5"/>
      <c r="I125" s="5">
        <v>2</v>
      </c>
      <c r="J125" s="5">
        <v>2</v>
      </c>
      <c r="K125" s="5">
        <v>2</v>
      </c>
      <c r="L125" s="5">
        <v>2</v>
      </c>
      <c r="M125" s="5">
        <v>2</v>
      </c>
      <c r="N125" s="5">
        <v>2</v>
      </c>
      <c r="O125" s="5">
        <v>2</v>
      </c>
      <c r="P125" s="5">
        <v>2</v>
      </c>
      <c r="Q125" s="5">
        <v>2</v>
      </c>
      <c r="R125" s="3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3">
      <c r="A126" s="53"/>
      <c r="B126" s="53"/>
      <c r="C126" s="28"/>
      <c r="D126" s="29"/>
      <c r="E126" s="28"/>
      <c r="F126" s="2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24">
        <v>-1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x14ac:dyDescent="0.3">
      <c r="A127" s="53"/>
      <c r="B127" s="53"/>
      <c r="C127" s="33" t="s">
        <v>76</v>
      </c>
      <c r="D127" s="33"/>
      <c r="E127" s="28" t="s">
        <v>62</v>
      </c>
      <c r="F127" s="29"/>
      <c r="G127" s="5">
        <v>1</v>
      </c>
      <c r="H127" s="5"/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3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3">
      <c r="A128" s="53"/>
      <c r="B128" s="53"/>
      <c r="C128" s="55" t="s">
        <v>75</v>
      </c>
      <c r="D128" s="56"/>
      <c r="E128" s="28" t="s">
        <v>62</v>
      </c>
      <c r="F128" s="29"/>
      <c r="G128" s="5">
        <v>1</v>
      </c>
      <c r="H128" s="5"/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3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3">
      <c r="A129" s="53"/>
      <c r="B129" s="53"/>
      <c r="C129" s="57" t="s">
        <v>77</v>
      </c>
      <c r="D129" s="58"/>
      <c r="E129" s="28" t="s">
        <v>62</v>
      </c>
      <c r="F129" s="29"/>
      <c r="G129" s="5">
        <v>1</v>
      </c>
      <c r="H129" s="5"/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3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spans="1:29" x14ac:dyDescent="0.3">
      <c r="A130" s="53"/>
      <c r="B130" s="53"/>
      <c r="C130" s="33" t="s">
        <v>72</v>
      </c>
      <c r="D130" s="33"/>
      <c r="E130" s="28" t="s">
        <v>61</v>
      </c>
      <c r="F130" s="29"/>
      <c r="G130" s="5">
        <v>2</v>
      </c>
      <c r="H130" s="5"/>
      <c r="I130" s="5">
        <v>2</v>
      </c>
      <c r="J130" s="5">
        <v>2</v>
      </c>
      <c r="K130" s="5">
        <v>2</v>
      </c>
      <c r="L130" s="5">
        <v>2</v>
      </c>
      <c r="M130" s="5">
        <v>2</v>
      </c>
      <c r="N130" s="5">
        <v>2</v>
      </c>
      <c r="O130" s="5">
        <v>2</v>
      </c>
      <c r="P130" s="5">
        <v>2</v>
      </c>
      <c r="Q130" s="5">
        <v>2</v>
      </c>
      <c r="R130" s="3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x14ac:dyDescent="0.3">
      <c r="A131" s="53"/>
      <c r="B131" s="53"/>
      <c r="C131" s="30" t="s">
        <v>79</v>
      </c>
      <c r="D131" s="31"/>
      <c r="E131" s="28" t="s">
        <v>53</v>
      </c>
      <c r="F131" s="29"/>
      <c r="G131" s="5">
        <v>2</v>
      </c>
      <c r="H131" s="5"/>
      <c r="I131" s="5">
        <v>2</v>
      </c>
      <c r="J131" s="5">
        <v>2</v>
      </c>
      <c r="K131" s="5">
        <v>2</v>
      </c>
      <c r="L131" s="5">
        <v>2</v>
      </c>
      <c r="M131" s="5">
        <v>2</v>
      </c>
      <c r="N131" s="5">
        <v>2</v>
      </c>
      <c r="O131" s="5">
        <v>2</v>
      </c>
      <c r="P131" s="5">
        <v>2</v>
      </c>
      <c r="Q131" s="5">
        <v>2</v>
      </c>
      <c r="R131" s="5">
        <v>2</v>
      </c>
      <c r="S131" s="3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spans="1:29" x14ac:dyDescent="0.3">
      <c r="A132" s="53"/>
      <c r="B132" s="53"/>
      <c r="C132" s="30" t="s">
        <v>78</v>
      </c>
      <c r="D132" s="31"/>
      <c r="E132" s="28" t="s">
        <v>53</v>
      </c>
      <c r="F132" s="29"/>
      <c r="G132" s="5">
        <v>3</v>
      </c>
      <c r="H132" s="5"/>
      <c r="I132" s="5">
        <v>2</v>
      </c>
      <c r="J132" s="5">
        <v>2</v>
      </c>
      <c r="K132" s="5">
        <v>2</v>
      </c>
      <c r="L132" s="5">
        <v>2</v>
      </c>
      <c r="M132" s="5">
        <v>2</v>
      </c>
      <c r="N132" s="5">
        <v>2</v>
      </c>
      <c r="O132" s="5">
        <v>2</v>
      </c>
      <c r="P132" s="5">
        <v>2</v>
      </c>
      <c r="Q132" s="5">
        <v>2</v>
      </c>
      <c r="R132" s="5">
        <v>2</v>
      </c>
      <c r="S132" s="3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spans="1:29" x14ac:dyDescent="0.3">
      <c r="A133" s="53"/>
      <c r="B133" s="53"/>
      <c r="C133" s="28"/>
      <c r="D133" s="29"/>
      <c r="E133" s="28"/>
      <c r="F133" s="2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25">
        <v>1</v>
      </c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x14ac:dyDescent="0.3">
      <c r="A134" s="53"/>
      <c r="B134" s="53"/>
      <c r="C134" s="30" t="s">
        <v>80</v>
      </c>
      <c r="D134" s="31"/>
      <c r="E134" s="28" t="s">
        <v>60</v>
      </c>
      <c r="F134" s="29"/>
      <c r="G134" s="5">
        <v>2</v>
      </c>
      <c r="H134" s="5"/>
      <c r="I134" s="5">
        <v>2</v>
      </c>
      <c r="J134" s="5">
        <v>2</v>
      </c>
      <c r="K134" s="5">
        <v>2</v>
      </c>
      <c r="L134" s="5">
        <v>2</v>
      </c>
      <c r="M134" s="5">
        <v>2</v>
      </c>
      <c r="N134" s="5">
        <v>2</v>
      </c>
      <c r="O134" s="5">
        <v>2</v>
      </c>
      <c r="P134" s="5">
        <v>2</v>
      </c>
      <c r="Q134" s="5">
        <v>2</v>
      </c>
      <c r="R134" s="5">
        <v>2</v>
      </c>
      <c r="S134" s="3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3">
      <c r="A135" s="53"/>
      <c r="B135" s="53"/>
      <c r="C135" s="30" t="s">
        <v>73</v>
      </c>
      <c r="D135" s="31"/>
      <c r="E135" s="28" t="s">
        <v>59</v>
      </c>
      <c r="F135" s="29"/>
      <c r="G135" s="5">
        <v>2</v>
      </c>
      <c r="H135" s="5"/>
      <c r="I135" s="5">
        <v>2</v>
      </c>
      <c r="J135" s="5">
        <v>2</v>
      </c>
      <c r="K135" s="5">
        <v>2</v>
      </c>
      <c r="L135" s="5">
        <v>2</v>
      </c>
      <c r="M135" s="5">
        <v>2</v>
      </c>
      <c r="N135" s="5">
        <v>2</v>
      </c>
      <c r="O135" s="5">
        <v>2</v>
      </c>
      <c r="P135" s="5">
        <v>2</v>
      </c>
      <c r="Q135" s="5">
        <v>2</v>
      </c>
      <c r="R135" s="5">
        <v>2</v>
      </c>
      <c r="S135" s="3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3">
      <c r="A136" s="53"/>
      <c r="B136" s="53"/>
      <c r="C136" s="30" t="s">
        <v>81</v>
      </c>
      <c r="D136" s="31"/>
      <c r="E136" s="28" t="s">
        <v>59</v>
      </c>
      <c r="F136" s="29"/>
      <c r="G136" s="5">
        <v>2</v>
      </c>
      <c r="H136" s="5"/>
      <c r="I136" s="5">
        <v>2</v>
      </c>
      <c r="J136" s="5">
        <v>2</v>
      </c>
      <c r="K136" s="5">
        <v>2</v>
      </c>
      <c r="L136" s="5">
        <v>2</v>
      </c>
      <c r="M136" s="5">
        <v>2</v>
      </c>
      <c r="N136" s="5">
        <v>2</v>
      </c>
      <c r="O136" s="5">
        <v>2</v>
      </c>
      <c r="P136" s="5">
        <v>2</v>
      </c>
      <c r="Q136" s="5">
        <v>2</v>
      </c>
      <c r="R136" s="5">
        <v>2</v>
      </c>
      <c r="S136" s="3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3">
      <c r="A137" s="53"/>
      <c r="B137" s="53"/>
      <c r="C137" s="30" t="s">
        <v>82</v>
      </c>
      <c r="D137" s="31"/>
      <c r="E137" s="28" t="s">
        <v>62</v>
      </c>
      <c r="F137" s="29"/>
      <c r="G137" s="5">
        <v>1</v>
      </c>
      <c r="H137" s="5"/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1</v>
      </c>
      <c r="S137" s="3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3">
      <c r="A138" s="53"/>
      <c r="B138" s="53"/>
      <c r="C138" s="30" t="s">
        <v>74</v>
      </c>
      <c r="D138" s="31"/>
      <c r="E138" s="28" t="s">
        <v>60</v>
      </c>
      <c r="F138" s="29"/>
      <c r="G138" s="5">
        <v>2</v>
      </c>
      <c r="H138" s="5"/>
      <c r="I138" s="5">
        <v>2</v>
      </c>
      <c r="J138" s="5">
        <v>2</v>
      </c>
      <c r="K138" s="5">
        <v>2</v>
      </c>
      <c r="L138" s="5">
        <v>2</v>
      </c>
      <c r="M138" s="5">
        <v>2</v>
      </c>
      <c r="N138" s="5">
        <v>2</v>
      </c>
      <c r="O138" s="5">
        <v>2</v>
      </c>
      <c r="P138" s="5">
        <v>2</v>
      </c>
      <c r="Q138" s="5">
        <v>2</v>
      </c>
      <c r="R138" s="5">
        <v>2</v>
      </c>
      <c r="S138" s="3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spans="1:29" x14ac:dyDescent="0.3">
      <c r="A139" s="53"/>
      <c r="B139" s="43" t="s">
        <v>85</v>
      </c>
      <c r="C139" s="30" t="s">
        <v>87</v>
      </c>
      <c r="D139" s="31"/>
      <c r="E139" s="28" t="s">
        <v>59</v>
      </c>
      <c r="F139" s="29"/>
      <c r="G139" s="5">
        <v>5</v>
      </c>
      <c r="H139" s="5"/>
      <c r="I139" s="5">
        <v>5</v>
      </c>
      <c r="J139" s="5">
        <v>5</v>
      </c>
      <c r="K139" s="5">
        <v>5</v>
      </c>
      <c r="L139" s="5">
        <v>5</v>
      </c>
      <c r="M139" s="5">
        <v>5</v>
      </c>
      <c r="N139" s="5">
        <v>5</v>
      </c>
      <c r="O139" s="5">
        <v>5</v>
      </c>
      <c r="P139" s="5">
        <v>5</v>
      </c>
      <c r="Q139" s="5">
        <v>5</v>
      </c>
      <c r="R139" s="5">
        <v>4</v>
      </c>
      <c r="S139" s="5">
        <v>3</v>
      </c>
      <c r="T139" s="3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spans="1:29" x14ac:dyDescent="0.3">
      <c r="A140" s="53"/>
      <c r="B140" s="53"/>
      <c r="C140" s="30" t="s">
        <v>88</v>
      </c>
      <c r="D140" s="31"/>
      <c r="E140" s="28" t="s">
        <v>62</v>
      </c>
      <c r="F140" s="29"/>
      <c r="G140" s="5">
        <v>5</v>
      </c>
      <c r="H140" s="5"/>
      <c r="I140" s="5">
        <v>5</v>
      </c>
      <c r="J140" s="5">
        <v>5</v>
      </c>
      <c r="K140" s="5">
        <v>5</v>
      </c>
      <c r="L140" s="5">
        <v>5</v>
      </c>
      <c r="M140" s="5">
        <v>5</v>
      </c>
      <c r="N140" s="5">
        <v>5</v>
      </c>
      <c r="O140" s="5">
        <v>5</v>
      </c>
      <c r="P140" s="5">
        <v>5</v>
      </c>
      <c r="Q140" s="5">
        <v>5</v>
      </c>
      <c r="R140" s="5">
        <v>3</v>
      </c>
      <c r="S140" s="5">
        <v>2</v>
      </c>
      <c r="T140" s="3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x14ac:dyDescent="0.3">
      <c r="A141" s="53"/>
      <c r="B141" s="53"/>
      <c r="C141" s="34" t="s">
        <v>91</v>
      </c>
      <c r="D141" s="35"/>
      <c r="E141" s="28" t="s">
        <v>61</v>
      </c>
      <c r="F141" s="29"/>
      <c r="G141" s="5">
        <v>6</v>
      </c>
      <c r="H141" s="5"/>
      <c r="I141" s="5">
        <v>4</v>
      </c>
      <c r="J141" s="5">
        <v>4</v>
      </c>
      <c r="K141" s="5">
        <v>4</v>
      </c>
      <c r="L141" s="5">
        <v>4</v>
      </c>
      <c r="M141" s="5">
        <v>4</v>
      </c>
      <c r="N141" s="5">
        <v>4</v>
      </c>
      <c r="O141" s="5">
        <v>4</v>
      </c>
      <c r="P141" s="5">
        <v>4</v>
      </c>
      <c r="Q141" s="5">
        <v>4</v>
      </c>
      <c r="R141" s="5">
        <v>3</v>
      </c>
      <c r="S141" s="5">
        <v>2</v>
      </c>
      <c r="T141" s="5">
        <v>1</v>
      </c>
      <c r="U141" s="3">
        <v>0</v>
      </c>
      <c r="V141" s="5">
        <v>0</v>
      </c>
      <c r="W141" s="5">
        <v>0</v>
      </c>
      <c r="X141" s="5">
        <v>0</v>
      </c>
      <c r="Y141" s="5"/>
      <c r="Z141" s="5"/>
      <c r="AA141" s="5"/>
      <c r="AB141" s="5"/>
      <c r="AC141" s="5"/>
    </row>
    <row r="142" spans="1:29" x14ac:dyDescent="0.3">
      <c r="A142" s="53"/>
      <c r="B142" s="53"/>
      <c r="C142" s="30" t="s">
        <v>92</v>
      </c>
      <c r="D142" s="31"/>
      <c r="E142" s="28" t="s">
        <v>60</v>
      </c>
      <c r="F142" s="29"/>
      <c r="G142" s="5">
        <v>5</v>
      </c>
      <c r="H142" s="5"/>
      <c r="I142" s="5">
        <v>4</v>
      </c>
      <c r="J142" s="5">
        <v>4</v>
      </c>
      <c r="K142" s="5">
        <v>4</v>
      </c>
      <c r="L142" s="5">
        <v>4</v>
      </c>
      <c r="M142" s="5">
        <v>4</v>
      </c>
      <c r="N142" s="5">
        <v>4</v>
      </c>
      <c r="O142" s="5">
        <v>4</v>
      </c>
      <c r="P142" s="5">
        <v>4</v>
      </c>
      <c r="Q142" s="5">
        <v>4</v>
      </c>
      <c r="R142" s="5">
        <v>4</v>
      </c>
      <c r="S142" s="5">
        <v>3</v>
      </c>
      <c r="T142" s="5">
        <v>2</v>
      </c>
      <c r="U142" s="3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3">
      <c r="A143" s="53"/>
      <c r="B143" s="53"/>
      <c r="C143" s="34" t="s">
        <v>83</v>
      </c>
      <c r="D143" s="35"/>
      <c r="E143" s="28" t="s">
        <v>53</v>
      </c>
      <c r="F143" s="29"/>
      <c r="G143" s="5">
        <v>5</v>
      </c>
      <c r="H143" s="5"/>
      <c r="I143" s="5">
        <v>4</v>
      </c>
      <c r="J143" s="5">
        <v>4</v>
      </c>
      <c r="K143" s="5">
        <v>4</v>
      </c>
      <c r="L143" s="5">
        <v>4</v>
      </c>
      <c r="M143" s="5">
        <v>4</v>
      </c>
      <c r="N143" s="5">
        <v>4</v>
      </c>
      <c r="O143" s="5">
        <v>4</v>
      </c>
      <c r="P143" s="5">
        <v>4</v>
      </c>
      <c r="Q143" s="5">
        <v>4</v>
      </c>
      <c r="R143" s="5">
        <v>4</v>
      </c>
      <c r="S143" s="5">
        <v>4</v>
      </c>
      <c r="T143" s="5">
        <v>4</v>
      </c>
      <c r="U143" s="5">
        <v>3</v>
      </c>
      <c r="V143" s="3">
        <v>0</v>
      </c>
      <c r="W143" s="5">
        <v>0</v>
      </c>
      <c r="X143" s="5">
        <v>0</v>
      </c>
      <c r="Y143" s="5"/>
      <c r="Z143" s="5"/>
      <c r="AA143" s="5"/>
      <c r="AB143" s="5"/>
      <c r="AC143" s="5"/>
    </row>
    <row r="144" spans="1:29" x14ac:dyDescent="0.3">
      <c r="A144" s="53"/>
      <c r="B144" s="53"/>
      <c r="C144" s="30" t="s">
        <v>89</v>
      </c>
      <c r="D144" s="31"/>
      <c r="E144" s="28" t="s">
        <v>62</v>
      </c>
      <c r="F144" s="29"/>
      <c r="G144" s="5">
        <v>6</v>
      </c>
      <c r="H144" s="5"/>
      <c r="I144" s="5">
        <v>7</v>
      </c>
      <c r="J144" s="5">
        <v>7</v>
      </c>
      <c r="K144" s="5">
        <v>7</v>
      </c>
      <c r="L144" s="5">
        <v>7</v>
      </c>
      <c r="M144" s="5">
        <v>7</v>
      </c>
      <c r="N144" s="5">
        <v>7</v>
      </c>
      <c r="O144" s="5">
        <v>7</v>
      </c>
      <c r="P144" s="5">
        <v>7</v>
      </c>
      <c r="Q144" s="5">
        <v>7</v>
      </c>
      <c r="R144" s="5">
        <v>7</v>
      </c>
      <c r="S144" s="5">
        <v>7</v>
      </c>
      <c r="T144" s="5">
        <v>6</v>
      </c>
      <c r="U144" s="5">
        <v>4</v>
      </c>
      <c r="V144" s="5">
        <v>4</v>
      </c>
      <c r="W144" s="3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x14ac:dyDescent="0.3">
      <c r="A145" s="53"/>
      <c r="B145" s="53"/>
      <c r="C145" s="28"/>
      <c r="D145" s="29"/>
      <c r="E145" s="28"/>
      <c r="F145" s="29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24">
        <v>-2</v>
      </c>
      <c r="X145" s="5"/>
      <c r="Y145" s="5"/>
      <c r="Z145" s="5"/>
      <c r="AA145" s="5"/>
      <c r="AB145" s="5"/>
      <c r="AC145" s="5"/>
    </row>
    <row r="146" spans="1:29" x14ac:dyDescent="0.3">
      <c r="A146" s="53"/>
      <c r="B146" s="53"/>
      <c r="C146" s="30" t="s">
        <v>90</v>
      </c>
      <c r="D146" s="31"/>
      <c r="E146" s="28" t="s">
        <v>53</v>
      </c>
      <c r="F146" s="29"/>
      <c r="G146" s="5">
        <v>8</v>
      </c>
      <c r="H146" s="5"/>
      <c r="I146" s="5">
        <v>6</v>
      </c>
      <c r="J146" s="5">
        <v>6</v>
      </c>
      <c r="K146" s="5">
        <v>6</v>
      </c>
      <c r="L146" s="5">
        <v>6</v>
      </c>
      <c r="M146" s="5">
        <v>6</v>
      </c>
      <c r="N146" s="5">
        <v>6</v>
      </c>
      <c r="O146" s="5">
        <v>6</v>
      </c>
      <c r="P146" s="5">
        <v>6</v>
      </c>
      <c r="Q146" s="5">
        <v>6</v>
      </c>
      <c r="R146" s="5">
        <v>6</v>
      </c>
      <c r="S146" s="5">
        <v>6</v>
      </c>
      <c r="T146" s="5">
        <v>4</v>
      </c>
      <c r="U146" s="5">
        <v>2</v>
      </c>
      <c r="V146" s="5">
        <v>1</v>
      </c>
      <c r="W146" s="3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spans="1:29" x14ac:dyDescent="0.3">
      <c r="A147" s="53"/>
      <c r="B147" s="53"/>
      <c r="C147" s="30" t="s">
        <v>84</v>
      </c>
      <c r="D147" s="31"/>
      <c r="E147" s="28" t="s">
        <v>59</v>
      </c>
      <c r="F147" s="29"/>
      <c r="G147" s="5">
        <v>8</v>
      </c>
      <c r="H147" s="5"/>
      <c r="I147" s="5">
        <v>6</v>
      </c>
      <c r="J147" s="5">
        <v>6</v>
      </c>
      <c r="K147" s="5">
        <v>6</v>
      </c>
      <c r="L147" s="5">
        <v>6</v>
      </c>
      <c r="M147" s="5">
        <v>6</v>
      </c>
      <c r="N147" s="5">
        <v>6</v>
      </c>
      <c r="O147" s="5">
        <v>6</v>
      </c>
      <c r="P147" s="5">
        <v>6</v>
      </c>
      <c r="Q147" s="5">
        <v>6</v>
      </c>
      <c r="R147" s="5">
        <v>6</v>
      </c>
      <c r="S147" s="5">
        <v>6</v>
      </c>
      <c r="T147" s="5">
        <v>4</v>
      </c>
      <c r="U147" s="5">
        <v>3</v>
      </c>
      <c r="V147" s="5">
        <v>2</v>
      </c>
      <c r="W147" s="5">
        <v>1</v>
      </c>
      <c r="X147" s="3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spans="1:29" x14ac:dyDescent="0.3">
      <c r="A148" s="53"/>
      <c r="B148" s="53"/>
      <c r="C148" s="30" t="s">
        <v>94</v>
      </c>
      <c r="D148" s="31"/>
      <c r="E148" s="28" t="s">
        <v>60</v>
      </c>
      <c r="F148" s="29"/>
      <c r="G148" s="5">
        <v>8</v>
      </c>
      <c r="H148" s="5"/>
      <c r="I148" s="5">
        <v>6</v>
      </c>
      <c r="J148" s="5">
        <v>6</v>
      </c>
      <c r="K148" s="5">
        <v>6</v>
      </c>
      <c r="L148" s="5">
        <v>6</v>
      </c>
      <c r="M148" s="5">
        <v>6</v>
      </c>
      <c r="N148" s="5">
        <v>6</v>
      </c>
      <c r="O148" s="5">
        <v>6</v>
      </c>
      <c r="P148" s="5">
        <v>6</v>
      </c>
      <c r="Q148" s="5">
        <v>6</v>
      </c>
      <c r="R148" s="5">
        <v>6</v>
      </c>
      <c r="S148" s="5">
        <v>6</v>
      </c>
      <c r="T148" s="5">
        <v>5</v>
      </c>
      <c r="U148" s="5">
        <v>3</v>
      </c>
      <c r="V148" s="5">
        <v>2</v>
      </c>
      <c r="W148" s="5">
        <v>1</v>
      </c>
      <c r="X148" s="3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spans="1:29" x14ac:dyDescent="0.3">
      <c r="A149" s="53"/>
      <c r="B149" s="53"/>
      <c r="C149" s="30" t="s">
        <v>93</v>
      </c>
      <c r="D149" s="31"/>
      <c r="E149" s="28" t="s">
        <v>61</v>
      </c>
      <c r="F149" s="29"/>
      <c r="G149" s="5">
        <v>8</v>
      </c>
      <c r="H149" s="5"/>
      <c r="I149" s="5">
        <v>6</v>
      </c>
      <c r="J149" s="5">
        <v>6</v>
      </c>
      <c r="K149" s="5">
        <v>6</v>
      </c>
      <c r="L149" s="5">
        <v>6</v>
      </c>
      <c r="M149" s="5">
        <v>6</v>
      </c>
      <c r="N149" s="5">
        <v>6</v>
      </c>
      <c r="O149" s="5">
        <v>6</v>
      </c>
      <c r="P149" s="5">
        <v>6</v>
      </c>
      <c r="Q149" s="5">
        <v>6</v>
      </c>
      <c r="R149" s="5">
        <v>6</v>
      </c>
      <c r="S149" s="5">
        <v>6</v>
      </c>
      <c r="T149" s="5">
        <v>6</v>
      </c>
      <c r="U149" s="5">
        <v>4</v>
      </c>
      <c r="V149" s="5">
        <v>3</v>
      </c>
      <c r="W149" s="5">
        <v>1</v>
      </c>
      <c r="X149" s="3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spans="1:29" x14ac:dyDescent="0.3">
      <c r="A150" s="53"/>
      <c r="B150" s="53"/>
      <c r="C150" s="30" t="s">
        <v>86</v>
      </c>
      <c r="D150" s="31"/>
      <c r="E150" s="28" t="s">
        <v>62</v>
      </c>
      <c r="F150" s="29"/>
      <c r="G150" s="5">
        <v>2</v>
      </c>
      <c r="H150" s="5"/>
      <c r="I150" s="5">
        <v>2</v>
      </c>
      <c r="J150" s="5">
        <v>2</v>
      </c>
      <c r="K150" s="5">
        <v>2</v>
      </c>
      <c r="L150" s="5">
        <v>2</v>
      </c>
      <c r="M150" s="5">
        <v>2</v>
      </c>
      <c r="N150" s="5">
        <v>2</v>
      </c>
      <c r="O150" s="5">
        <v>2</v>
      </c>
      <c r="P150" s="5">
        <v>2</v>
      </c>
      <c r="Q150" s="5">
        <v>2</v>
      </c>
      <c r="R150" s="5">
        <v>2</v>
      </c>
      <c r="S150" s="5">
        <v>2</v>
      </c>
      <c r="T150" s="5">
        <v>2</v>
      </c>
      <c r="U150" s="5">
        <v>2</v>
      </c>
      <c r="V150" s="5">
        <v>2</v>
      </c>
      <c r="W150" s="5">
        <v>1</v>
      </c>
      <c r="X150" s="3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spans="1:29" x14ac:dyDescent="0.3">
      <c r="A151" s="53"/>
      <c r="B151" s="44"/>
      <c r="C151" s="30" t="s">
        <v>32</v>
      </c>
      <c r="D151" s="31"/>
      <c r="E151" s="28" t="s">
        <v>34</v>
      </c>
      <c r="F151" s="29"/>
      <c r="G151" s="5">
        <v>12</v>
      </c>
      <c r="H151" s="5"/>
      <c r="I151" s="5">
        <v>12</v>
      </c>
      <c r="J151" s="5">
        <v>12</v>
      </c>
      <c r="K151" s="5">
        <v>12</v>
      </c>
      <c r="L151" s="5">
        <v>12</v>
      </c>
      <c r="M151" s="5">
        <v>12</v>
      </c>
      <c r="N151" s="5">
        <v>12</v>
      </c>
      <c r="O151" s="5">
        <v>12</v>
      </c>
      <c r="P151" s="5">
        <v>12</v>
      </c>
      <c r="Q151" s="5">
        <v>10</v>
      </c>
      <c r="R151" s="5">
        <v>10</v>
      </c>
      <c r="S151" s="5">
        <v>8</v>
      </c>
      <c r="T151" s="5">
        <v>6</v>
      </c>
      <c r="U151" s="5">
        <v>6</v>
      </c>
      <c r="V151" s="5">
        <v>4</v>
      </c>
      <c r="W151" s="5">
        <v>2</v>
      </c>
      <c r="X151" s="5">
        <v>1</v>
      </c>
      <c r="Y151" s="3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x14ac:dyDescent="0.3">
      <c r="A152" s="53"/>
      <c r="B152" s="43" t="s">
        <v>24</v>
      </c>
      <c r="C152" s="54" t="s">
        <v>96</v>
      </c>
      <c r="D152" s="33"/>
      <c r="E152" s="28" t="s">
        <v>61</v>
      </c>
      <c r="F152" s="29"/>
      <c r="G152" s="5">
        <v>1</v>
      </c>
      <c r="H152" s="5"/>
      <c r="I152" s="5">
        <v>3</v>
      </c>
      <c r="J152" s="5">
        <v>3</v>
      </c>
      <c r="K152" s="5">
        <v>3</v>
      </c>
      <c r="L152" s="5">
        <v>3</v>
      </c>
      <c r="M152" s="5">
        <v>3</v>
      </c>
      <c r="N152" s="5">
        <v>3</v>
      </c>
      <c r="O152" s="5">
        <v>3</v>
      </c>
      <c r="P152" s="5">
        <v>3</v>
      </c>
      <c r="Q152" s="5">
        <v>3</v>
      </c>
      <c r="R152" s="5">
        <v>3</v>
      </c>
      <c r="S152" s="5">
        <v>3</v>
      </c>
      <c r="T152" s="5">
        <v>3</v>
      </c>
      <c r="U152" s="5">
        <v>3</v>
      </c>
      <c r="V152" s="5">
        <v>3</v>
      </c>
      <c r="W152" s="5">
        <v>3</v>
      </c>
      <c r="X152" s="5">
        <v>2</v>
      </c>
      <c r="Y152" s="5">
        <v>1</v>
      </c>
      <c r="Z152" s="3">
        <v>0</v>
      </c>
      <c r="AA152" s="5">
        <v>0</v>
      </c>
      <c r="AB152" s="5">
        <v>0</v>
      </c>
      <c r="AC152" s="5">
        <v>0</v>
      </c>
    </row>
    <row r="153" spans="1:29" x14ac:dyDescent="0.3">
      <c r="A153" s="53"/>
      <c r="B153" s="53"/>
      <c r="C153" s="72"/>
      <c r="D153" s="73"/>
      <c r="E153" s="28"/>
      <c r="F153" s="29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24">
        <v>-2</v>
      </c>
      <c r="AA153" s="5"/>
      <c r="AB153" s="5"/>
      <c r="AC153" s="5"/>
    </row>
    <row r="154" spans="1:29" x14ac:dyDescent="0.3">
      <c r="A154" s="53"/>
      <c r="B154" s="53"/>
      <c r="C154" s="33" t="s">
        <v>95</v>
      </c>
      <c r="D154" s="33"/>
      <c r="E154" s="28" t="s">
        <v>61</v>
      </c>
      <c r="F154" s="29"/>
      <c r="G154" s="5">
        <v>3</v>
      </c>
      <c r="H154" s="5"/>
      <c r="I154" s="5">
        <v>3</v>
      </c>
      <c r="J154" s="5">
        <v>3</v>
      </c>
      <c r="K154" s="5">
        <v>3</v>
      </c>
      <c r="L154" s="5">
        <v>3</v>
      </c>
      <c r="M154" s="5">
        <v>3</v>
      </c>
      <c r="N154" s="5">
        <v>3</v>
      </c>
      <c r="O154" s="5">
        <v>3</v>
      </c>
      <c r="P154" s="5">
        <v>3</v>
      </c>
      <c r="Q154" s="5">
        <v>3</v>
      </c>
      <c r="R154" s="5">
        <v>3</v>
      </c>
      <c r="S154" s="5">
        <v>3</v>
      </c>
      <c r="T154" s="5">
        <v>3</v>
      </c>
      <c r="U154" s="5">
        <v>3</v>
      </c>
      <c r="V154" s="5">
        <v>3</v>
      </c>
      <c r="W154" s="5">
        <v>3</v>
      </c>
      <c r="X154" s="5">
        <v>2</v>
      </c>
      <c r="Y154" s="5">
        <v>1</v>
      </c>
      <c r="Z154" s="3">
        <v>0</v>
      </c>
      <c r="AA154" s="5">
        <v>0</v>
      </c>
      <c r="AB154" s="5">
        <v>0</v>
      </c>
      <c r="AC154" s="5">
        <v>0</v>
      </c>
    </row>
    <row r="155" spans="1:29" x14ac:dyDescent="0.3">
      <c r="A155" s="53"/>
      <c r="B155" s="53"/>
      <c r="C155" s="33" t="s">
        <v>97</v>
      </c>
      <c r="D155" s="33"/>
      <c r="E155" s="28" t="s">
        <v>53</v>
      </c>
      <c r="F155" s="29"/>
      <c r="G155" s="5">
        <v>1</v>
      </c>
      <c r="H155" s="5"/>
      <c r="I155" s="5">
        <v>3</v>
      </c>
      <c r="J155" s="5">
        <v>3</v>
      </c>
      <c r="K155" s="5">
        <v>3</v>
      </c>
      <c r="L155" s="5">
        <v>3</v>
      </c>
      <c r="M155" s="5">
        <v>3</v>
      </c>
      <c r="N155" s="5">
        <v>3</v>
      </c>
      <c r="O155" s="5">
        <v>3</v>
      </c>
      <c r="P155" s="5">
        <v>3</v>
      </c>
      <c r="Q155" s="5">
        <v>3</v>
      </c>
      <c r="R155" s="5">
        <v>3</v>
      </c>
      <c r="S155" s="5">
        <v>3</v>
      </c>
      <c r="T155" s="5">
        <v>3</v>
      </c>
      <c r="U155" s="5">
        <v>3</v>
      </c>
      <c r="V155" s="5">
        <v>3</v>
      </c>
      <c r="W155" s="5">
        <v>3</v>
      </c>
      <c r="X155" s="5">
        <v>3</v>
      </c>
      <c r="Y155" s="5">
        <v>3</v>
      </c>
      <c r="Z155" s="5">
        <v>3</v>
      </c>
      <c r="AA155" s="3">
        <v>0</v>
      </c>
      <c r="AB155" s="5"/>
      <c r="AC155" s="5"/>
    </row>
    <row r="156" spans="1:29" x14ac:dyDescent="0.3">
      <c r="A156" s="53"/>
      <c r="B156" s="53"/>
      <c r="C156" s="28"/>
      <c r="D156" s="29"/>
      <c r="E156" s="28"/>
      <c r="F156" s="29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24">
        <v>-2</v>
      </c>
      <c r="AB156" s="5"/>
      <c r="AC156" s="5"/>
    </row>
    <row r="157" spans="1:29" x14ac:dyDescent="0.3">
      <c r="A157" s="53"/>
      <c r="B157" s="53"/>
      <c r="C157" s="33" t="s">
        <v>98</v>
      </c>
      <c r="D157" s="33"/>
      <c r="E157" s="28" t="s">
        <v>53</v>
      </c>
      <c r="F157" s="29"/>
      <c r="G157" s="5">
        <v>3</v>
      </c>
      <c r="H157" s="5"/>
      <c r="I157" s="5">
        <v>3</v>
      </c>
      <c r="J157" s="5">
        <v>3</v>
      </c>
      <c r="K157" s="5">
        <v>3</v>
      </c>
      <c r="L157" s="5">
        <v>3</v>
      </c>
      <c r="M157" s="5">
        <v>3</v>
      </c>
      <c r="N157" s="5">
        <v>3</v>
      </c>
      <c r="O157" s="5">
        <v>3</v>
      </c>
      <c r="P157" s="5">
        <v>3</v>
      </c>
      <c r="Q157" s="5">
        <v>3</v>
      </c>
      <c r="R157" s="5">
        <v>3</v>
      </c>
      <c r="S157" s="5">
        <v>3</v>
      </c>
      <c r="T157" s="5">
        <v>3</v>
      </c>
      <c r="U157" s="5">
        <v>3</v>
      </c>
      <c r="V157" s="5">
        <v>3</v>
      </c>
      <c r="W157" s="5">
        <v>3</v>
      </c>
      <c r="X157" s="5">
        <v>3</v>
      </c>
      <c r="Y157" s="5">
        <v>2</v>
      </c>
      <c r="Z157" s="5">
        <v>1</v>
      </c>
      <c r="AA157" s="3">
        <v>0</v>
      </c>
      <c r="AB157" s="5">
        <v>0</v>
      </c>
      <c r="AC157" s="5">
        <v>0</v>
      </c>
    </row>
    <row r="158" spans="1:29" x14ac:dyDescent="0.3">
      <c r="A158" s="53"/>
      <c r="B158" s="53"/>
      <c r="C158" s="33" t="s">
        <v>99</v>
      </c>
      <c r="D158" s="33"/>
      <c r="E158" s="28" t="s">
        <v>62</v>
      </c>
      <c r="F158" s="29"/>
      <c r="G158" s="5">
        <v>1</v>
      </c>
      <c r="H158" s="5"/>
      <c r="I158" s="5">
        <v>1</v>
      </c>
      <c r="J158" s="5">
        <v>1</v>
      </c>
      <c r="K158" s="5">
        <v>1</v>
      </c>
      <c r="L158" s="5">
        <v>1</v>
      </c>
      <c r="M158" s="5">
        <v>1</v>
      </c>
      <c r="N158" s="5">
        <v>1</v>
      </c>
      <c r="O158" s="5">
        <v>1</v>
      </c>
      <c r="P158" s="5">
        <v>1</v>
      </c>
      <c r="Q158" s="5">
        <v>1</v>
      </c>
      <c r="R158" s="5">
        <v>1</v>
      </c>
      <c r="S158" s="5">
        <v>1</v>
      </c>
      <c r="T158" s="5">
        <v>1</v>
      </c>
      <c r="U158" s="5">
        <v>1</v>
      </c>
      <c r="V158" s="5">
        <v>1</v>
      </c>
      <c r="W158" s="5">
        <v>1</v>
      </c>
      <c r="X158" s="5">
        <v>1</v>
      </c>
      <c r="Y158" s="5">
        <v>1</v>
      </c>
      <c r="Z158" s="5">
        <v>1</v>
      </c>
      <c r="AA158" s="3">
        <v>0</v>
      </c>
      <c r="AB158" s="5"/>
      <c r="AC158" s="5"/>
    </row>
    <row r="159" spans="1:29" x14ac:dyDescent="0.3">
      <c r="A159" s="53"/>
      <c r="B159" s="53"/>
      <c r="C159" s="30" t="s">
        <v>36</v>
      </c>
      <c r="D159" s="31"/>
      <c r="E159" s="28" t="s">
        <v>62</v>
      </c>
      <c r="F159" s="29"/>
      <c r="G159" s="5">
        <v>2</v>
      </c>
      <c r="H159" s="5"/>
      <c r="I159" s="5">
        <v>2</v>
      </c>
      <c r="J159" s="5">
        <v>2</v>
      </c>
      <c r="K159" s="5">
        <v>2</v>
      </c>
      <c r="L159" s="5">
        <v>2</v>
      </c>
      <c r="M159" s="5">
        <v>2</v>
      </c>
      <c r="N159" s="5">
        <v>2</v>
      </c>
      <c r="O159" s="5">
        <v>2</v>
      </c>
      <c r="P159" s="5">
        <v>2</v>
      </c>
      <c r="Q159" s="5">
        <v>2</v>
      </c>
      <c r="R159" s="5">
        <v>2</v>
      </c>
      <c r="S159" s="5">
        <v>2</v>
      </c>
      <c r="T159" s="5">
        <v>2</v>
      </c>
      <c r="U159" s="5">
        <v>2</v>
      </c>
      <c r="V159" s="5">
        <v>2</v>
      </c>
      <c r="W159" s="5">
        <v>2</v>
      </c>
      <c r="X159" s="5">
        <v>2</v>
      </c>
      <c r="Y159" s="5">
        <v>2</v>
      </c>
      <c r="Z159" s="5">
        <v>1</v>
      </c>
      <c r="AA159" s="3">
        <v>0</v>
      </c>
      <c r="AB159" s="5">
        <v>0</v>
      </c>
      <c r="AC159" s="5">
        <v>0</v>
      </c>
    </row>
    <row r="160" spans="1:29" x14ac:dyDescent="0.3">
      <c r="A160" s="53"/>
      <c r="B160" s="53"/>
      <c r="C160" s="30" t="s">
        <v>37</v>
      </c>
      <c r="D160" s="31"/>
      <c r="E160" s="28" t="s">
        <v>62</v>
      </c>
      <c r="F160" s="29"/>
      <c r="G160" s="5">
        <v>1</v>
      </c>
      <c r="H160" s="5"/>
      <c r="I160" s="5">
        <v>1</v>
      </c>
      <c r="J160" s="5">
        <v>1</v>
      </c>
      <c r="K160" s="5">
        <v>1</v>
      </c>
      <c r="L160" s="5">
        <v>1</v>
      </c>
      <c r="M160" s="5">
        <v>1</v>
      </c>
      <c r="N160" s="5">
        <v>1</v>
      </c>
      <c r="O160" s="5">
        <v>1</v>
      </c>
      <c r="P160" s="5">
        <v>1</v>
      </c>
      <c r="Q160" s="5">
        <v>1</v>
      </c>
      <c r="R160" s="5">
        <v>1</v>
      </c>
      <c r="S160" s="5">
        <v>1</v>
      </c>
      <c r="T160" s="5">
        <v>1</v>
      </c>
      <c r="U160" s="5">
        <v>1</v>
      </c>
      <c r="V160" s="5">
        <v>1</v>
      </c>
      <c r="W160" s="5">
        <v>1</v>
      </c>
      <c r="X160" s="5">
        <v>1</v>
      </c>
      <c r="Y160" s="5">
        <v>1</v>
      </c>
      <c r="Z160" s="5">
        <v>1</v>
      </c>
      <c r="AA160" s="3">
        <v>0</v>
      </c>
      <c r="AB160" s="5">
        <v>0</v>
      </c>
      <c r="AC160" s="5">
        <v>0</v>
      </c>
    </row>
    <row r="161" spans="1:29" x14ac:dyDescent="0.3">
      <c r="A161" s="53"/>
      <c r="B161" s="53"/>
      <c r="C161" s="30" t="s">
        <v>35</v>
      </c>
      <c r="D161" s="31"/>
      <c r="E161" s="28" t="s">
        <v>62</v>
      </c>
      <c r="F161" s="29"/>
      <c r="G161" s="5">
        <v>2</v>
      </c>
      <c r="H161" s="5"/>
      <c r="I161" s="5">
        <v>2</v>
      </c>
      <c r="J161" s="5">
        <v>2</v>
      </c>
      <c r="K161" s="5">
        <v>2</v>
      </c>
      <c r="L161" s="5">
        <v>2</v>
      </c>
      <c r="M161" s="5">
        <v>2</v>
      </c>
      <c r="N161" s="5">
        <v>2</v>
      </c>
      <c r="O161" s="5">
        <v>2</v>
      </c>
      <c r="P161" s="5">
        <v>2</v>
      </c>
      <c r="Q161" s="5">
        <v>2</v>
      </c>
      <c r="R161" s="5">
        <v>2</v>
      </c>
      <c r="S161" s="5">
        <v>2</v>
      </c>
      <c r="T161" s="5">
        <v>2</v>
      </c>
      <c r="U161" s="5">
        <v>2</v>
      </c>
      <c r="V161" s="5">
        <v>2</v>
      </c>
      <c r="W161" s="5">
        <v>2</v>
      </c>
      <c r="X161" s="5">
        <v>2</v>
      </c>
      <c r="Y161" s="5">
        <v>2</v>
      </c>
      <c r="Z161" s="5">
        <v>1</v>
      </c>
      <c r="AA161" s="3">
        <v>0</v>
      </c>
      <c r="AB161" s="5">
        <v>0</v>
      </c>
      <c r="AC161" s="5">
        <v>0</v>
      </c>
    </row>
    <row r="162" spans="1:29" x14ac:dyDescent="0.3">
      <c r="A162" s="53"/>
      <c r="B162" s="53"/>
      <c r="C162" s="30" t="s">
        <v>100</v>
      </c>
      <c r="D162" s="31"/>
      <c r="E162" s="28" t="s">
        <v>60</v>
      </c>
      <c r="F162" s="29"/>
      <c r="G162" s="5">
        <v>3</v>
      </c>
      <c r="H162" s="5"/>
      <c r="I162" s="5">
        <v>3</v>
      </c>
      <c r="J162" s="5">
        <v>3</v>
      </c>
      <c r="K162" s="5">
        <v>3</v>
      </c>
      <c r="L162" s="5">
        <v>3</v>
      </c>
      <c r="M162" s="5">
        <v>3</v>
      </c>
      <c r="N162" s="5">
        <v>3</v>
      </c>
      <c r="O162" s="5">
        <v>3</v>
      </c>
      <c r="P162" s="5">
        <v>3</v>
      </c>
      <c r="Q162" s="5">
        <v>3</v>
      </c>
      <c r="R162" s="5">
        <v>3</v>
      </c>
      <c r="S162" s="5">
        <v>3</v>
      </c>
      <c r="T162" s="5">
        <v>3</v>
      </c>
      <c r="U162" s="5">
        <v>3</v>
      </c>
      <c r="V162" s="5">
        <v>3</v>
      </c>
      <c r="W162" s="5">
        <v>3</v>
      </c>
      <c r="X162" s="5">
        <v>3</v>
      </c>
      <c r="Y162" s="5">
        <v>2</v>
      </c>
      <c r="Z162" s="5">
        <v>1</v>
      </c>
      <c r="AA162" s="3">
        <v>0</v>
      </c>
      <c r="AB162" s="5">
        <v>0</v>
      </c>
      <c r="AC162" s="5">
        <v>0</v>
      </c>
    </row>
    <row r="163" spans="1:29" x14ac:dyDescent="0.3">
      <c r="A163" s="53"/>
      <c r="B163" s="53"/>
      <c r="C163" s="30" t="s">
        <v>101</v>
      </c>
      <c r="D163" s="31"/>
      <c r="E163" s="28" t="s">
        <v>60</v>
      </c>
      <c r="F163" s="29"/>
      <c r="G163" s="5">
        <v>3</v>
      </c>
      <c r="H163" s="5"/>
      <c r="I163" s="5">
        <v>3</v>
      </c>
      <c r="J163" s="5">
        <v>3</v>
      </c>
      <c r="K163" s="5">
        <v>3</v>
      </c>
      <c r="L163" s="5">
        <v>3</v>
      </c>
      <c r="M163" s="5">
        <v>3</v>
      </c>
      <c r="N163" s="5">
        <v>3</v>
      </c>
      <c r="O163" s="5">
        <v>3</v>
      </c>
      <c r="P163" s="5">
        <v>3</v>
      </c>
      <c r="Q163" s="5">
        <v>3</v>
      </c>
      <c r="R163" s="5">
        <v>3</v>
      </c>
      <c r="S163" s="5">
        <v>3</v>
      </c>
      <c r="T163" s="5">
        <v>3</v>
      </c>
      <c r="U163" s="5">
        <v>3</v>
      </c>
      <c r="V163" s="5">
        <v>3</v>
      </c>
      <c r="W163" s="5">
        <v>3</v>
      </c>
      <c r="X163" s="5">
        <v>3</v>
      </c>
      <c r="Y163" s="5">
        <v>2</v>
      </c>
      <c r="Z163" s="5">
        <v>1</v>
      </c>
      <c r="AA163" s="3">
        <v>0</v>
      </c>
      <c r="AB163" s="5">
        <v>0</v>
      </c>
      <c r="AC163" s="5">
        <v>0</v>
      </c>
    </row>
    <row r="164" spans="1:29" x14ac:dyDescent="0.3">
      <c r="A164" s="53"/>
      <c r="B164" s="53"/>
      <c r="C164" s="30" t="s">
        <v>102</v>
      </c>
      <c r="D164" s="31"/>
      <c r="E164" s="28" t="s">
        <v>59</v>
      </c>
      <c r="F164" s="29"/>
      <c r="G164" s="5">
        <v>1</v>
      </c>
      <c r="H164" s="5"/>
      <c r="I164" s="5">
        <v>2</v>
      </c>
      <c r="J164" s="5">
        <v>2</v>
      </c>
      <c r="K164" s="5">
        <v>2</v>
      </c>
      <c r="L164" s="5">
        <v>2</v>
      </c>
      <c r="M164" s="5">
        <v>2</v>
      </c>
      <c r="N164" s="5">
        <v>2</v>
      </c>
      <c r="O164" s="5">
        <v>2</v>
      </c>
      <c r="P164" s="5">
        <v>2</v>
      </c>
      <c r="Q164" s="5">
        <v>2</v>
      </c>
      <c r="R164" s="5">
        <v>2</v>
      </c>
      <c r="S164" s="5">
        <v>2</v>
      </c>
      <c r="T164" s="5">
        <v>2</v>
      </c>
      <c r="U164" s="5">
        <v>2</v>
      </c>
      <c r="V164" s="5">
        <v>2</v>
      </c>
      <c r="W164" s="5">
        <v>2</v>
      </c>
      <c r="X164" s="5">
        <v>2</v>
      </c>
      <c r="Y164" s="5">
        <v>2</v>
      </c>
      <c r="Z164" s="5">
        <v>2</v>
      </c>
      <c r="AA164" s="3">
        <v>0</v>
      </c>
      <c r="AB164" s="5">
        <v>0</v>
      </c>
      <c r="AC164" s="5">
        <v>0</v>
      </c>
    </row>
    <row r="165" spans="1:29" x14ac:dyDescent="0.3">
      <c r="A165" s="53"/>
      <c r="B165" s="53"/>
      <c r="C165" s="28"/>
      <c r="D165" s="29"/>
      <c r="E165" s="28"/>
      <c r="F165" s="29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24">
        <v>-1</v>
      </c>
      <c r="AB165" s="5"/>
      <c r="AC165" s="5"/>
    </row>
    <row r="166" spans="1:29" x14ac:dyDescent="0.3">
      <c r="A166" s="53"/>
      <c r="B166" s="53"/>
      <c r="C166" s="30" t="s">
        <v>103</v>
      </c>
      <c r="D166" s="31"/>
      <c r="E166" s="28" t="s">
        <v>59</v>
      </c>
      <c r="F166" s="29"/>
      <c r="G166" s="5">
        <v>1</v>
      </c>
      <c r="H166" s="5"/>
      <c r="I166" s="5">
        <v>2</v>
      </c>
      <c r="J166" s="5">
        <v>2</v>
      </c>
      <c r="K166" s="5">
        <v>2</v>
      </c>
      <c r="L166" s="5">
        <v>2</v>
      </c>
      <c r="M166" s="5">
        <v>2</v>
      </c>
      <c r="N166" s="5">
        <v>2</v>
      </c>
      <c r="O166" s="5">
        <v>2</v>
      </c>
      <c r="P166" s="5">
        <v>2</v>
      </c>
      <c r="Q166" s="5">
        <v>2</v>
      </c>
      <c r="R166" s="5">
        <v>2</v>
      </c>
      <c r="S166" s="5">
        <v>2</v>
      </c>
      <c r="T166" s="5">
        <v>2</v>
      </c>
      <c r="U166" s="5">
        <v>2</v>
      </c>
      <c r="V166" s="5">
        <v>2</v>
      </c>
      <c r="W166" s="5">
        <v>2</v>
      </c>
      <c r="X166" s="5">
        <v>2</v>
      </c>
      <c r="Y166" s="5">
        <v>2</v>
      </c>
      <c r="Z166" s="5">
        <v>2</v>
      </c>
      <c r="AA166" s="3">
        <v>0</v>
      </c>
      <c r="AB166" s="5">
        <v>0</v>
      </c>
      <c r="AC166" s="5">
        <v>0</v>
      </c>
    </row>
    <row r="167" spans="1:29" x14ac:dyDescent="0.3">
      <c r="A167" s="53"/>
      <c r="B167" s="27"/>
      <c r="C167" s="28"/>
      <c r="D167" s="29"/>
      <c r="E167" s="28"/>
      <c r="F167" s="29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24">
        <v>-1</v>
      </c>
      <c r="AB167" s="5"/>
      <c r="AC167" s="5"/>
    </row>
    <row r="168" spans="1:29" x14ac:dyDescent="0.3">
      <c r="A168" s="53"/>
      <c r="B168" s="43" t="s">
        <v>25</v>
      </c>
      <c r="C168" s="54" t="s">
        <v>104</v>
      </c>
      <c r="D168" s="33"/>
      <c r="E168" s="28" t="s">
        <v>53</v>
      </c>
      <c r="F168" s="29"/>
      <c r="G168" s="5">
        <v>1</v>
      </c>
      <c r="H168" s="5"/>
      <c r="I168" s="5">
        <v>1</v>
      </c>
      <c r="J168" s="5">
        <v>1</v>
      </c>
      <c r="K168" s="5">
        <v>1</v>
      </c>
      <c r="L168" s="5">
        <v>1</v>
      </c>
      <c r="M168" s="5">
        <v>1</v>
      </c>
      <c r="N168" s="5">
        <v>1</v>
      </c>
      <c r="O168" s="5">
        <v>1</v>
      </c>
      <c r="P168" s="5">
        <v>1</v>
      </c>
      <c r="Q168" s="5">
        <v>1</v>
      </c>
      <c r="R168" s="5">
        <v>1</v>
      </c>
      <c r="S168" s="5">
        <v>1</v>
      </c>
      <c r="T168" s="5">
        <v>1</v>
      </c>
      <c r="U168" s="5">
        <v>1</v>
      </c>
      <c r="V168" s="5">
        <v>1</v>
      </c>
      <c r="W168" s="5">
        <v>1</v>
      </c>
      <c r="X168" s="5">
        <v>1</v>
      </c>
      <c r="Y168" s="5">
        <v>1</v>
      </c>
      <c r="Z168" s="5">
        <v>1</v>
      </c>
      <c r="AA168" s="5">
        <v>1</v>
      </c>
      <c r="AB168" s="3">
        <v>0</v>
      </c>
      <c r="AC168" s="5">
        <v>0</v>
      </c>
    </row>
    <row r="169" spans="1:29" x14ac:dyDescent="0.3">
      <c r="A169" s="53"/>
      <c r="B169" s="53"/>
      <c r="C169" s="33" t="s">
        <v>105</v>
      </c>
      <c r="D169" s="33"/>
      <c r="E169" s="28" t="s">
        <v>62</v>
      </c>
      <c r="F169" s="29"/>
      <c r="G169" s="5">
        <v>1</v>
      </c>
      <c r="H169" s="5"/>
      <c r="I169" s="5">
        <v>1</v>
      </c>
      <c r="J169" s="5">
        <v>1</v>
      </c>
      <c r="K169" s="5">
        <v>1</v>
      </c>
      <c r="L169" s="5">
        <v>1</v>
      </c>
      <c r="M169" s="5">
        <v>1</v>
      </c>
      <c r="N169" s="5">
        <v>1</v>
      </c>
      <c r="O169" s="5">
        <v>1</v>
      </c>
      <c r="P169" s="5">
        <v>1</v>
      </c>
      <c r="Q169" s="5">
        <v>1</v>
      </c>
      <c r="R169" s="5">
        <v>1</v>
      </c>
      <c r="S169" s="5">
        <v>1</v>
      </c>
      <c r="T169" s="5">
        <v>1</v>
      </c>
      <c r="U169" s="5">
        <v>1</v>
      </c>
      <c r="V169" s="5">
        <v>1</v>
      </c>
      <c r="W169" s="5">
        <v>1</v>
      </c>
      <c r="X169" s="5">
        <v>1</v>
      </c>
      <c r="Y169" s="5">
        <v>1</v>
      </c>
      <c r="Z169" s="5">
        <v>1</v>
      </c>
      <c r="AA169" s="5">
        <v>1</v>
      </c>
      <c r="AB169" s="3">
        <v>0</v>
      </c>
      <c r="AC169" s="5">
        <v>0</v>
      </c>
    </row>
    <row r="170" spans="1:29" x14ac:dyDescent="0.3">
      <c r="A170" s="53"/>
      <c r="B170" s="53"/>
      <c r="C170" s="33" t="s">
        <v>106</v>
      </c>
      <c r="D170" s="33"/>
      <c r="E170" s="28" t="s">
        <v>60</v>
      </c>
      <c r="F170" s="29"/>
      <c r="G170" s="5">
        <v>2</v>
      </c>
      <c r="H170" s="5"/>
      <c r="I170" s="5">
        <v>2</v>
      </c>
      <c r="J170" s="5">
        <v>2</v>
      </c>
      <c r="K170" s="5">
        <v>2</v>
      </c>
      <c r="L170" s="5">
        <v>2</v>
      </c>
      <c r="M170" s="5">
        <v>2</v>
      </c>
      <c r="N170" s="5">
        <v>2</v>
      </c>
      <c r="O170" s="5">
        <v>2</v>
      </c>
      <c r="P170" s="5">
        <v>2</v>
      </c>
      <c r="Q170" s="5">
        <v>2</v>
      </c>
      <c r="R170" s="5">
        <v>2</v>
      </c>
      <c r="S170" s="5">
        <v>2</v>
      </c>
      <c r="T170" s="5">
        <v>2</v>
      </c>
      <c r="U170" s="5">
        <v>2</v>
      </c>
      <c r="V170" s="5">
        <v>2</v>
      </c>
      <c r="W170" s="5">
        <v>2</v>
      </c>
      <c r="X170" s="5">
        <v>2</v>
      </c>
      <c r="Y170" s="5">
        <v>1</v>
      </c>
      <c r="Z170" s="5">
        <v>1</v>
      </c>
      <c r="AA170" s="5">
        <v>1</v>
      </c>
      <c r="AB170" s="3">
        <v>0</v>
      </c>
      <c r="AC170" s="5">
        <v>0</v>
      </c>
    </row>
    <row r="171" spans="1:29" x14ac:dyDescent="0.3">
      <c r="A171" s="53"/>
      <c r="B171" s="53"/>
      <c r="C171" s="33" t="s">
        <v>107</v>
      </c>
      <c r="D171" s="33"/>
      <c r="E171" s="28" t="s">
        <v>61</v>
      </c>
      <c r="F171" s="29"/>
      <c r="G171" s="5">
        <v>1</v>
      </c>
      <c r="H171" s="5"/>
      <c r="I171" s="5">
        <v>2</v>
      </c>
      <c r="J171" s="5">
        <v>2</v>
      </c>
      <c r="K171" s="5">
        <v>2</v>
      </c>
      <c r="L171" s="5">
        <v>2</v>
      </c>
      <c r="M171" s="5">
        <v>2</v>
      </c>
      <c r="N171" s="5">
        <v>2</v>
      </c>
      <c r="O171" s="5">
        <v>2</v>
      </c>
      <c r="P171" s="5">
        <v>2</v>
      </c>
      <c r="Q171" s="5">
        <v>2</v>
      </c>
      <c r="R171" s="5">
        <v>2</v>
      </c>
      <c r="S171" s="5">
        <v>2</v>
      </c>
      <c r="T171" s="5">
        <v>2</v>
      </c>
      <c r="U171" s="5">
        <v>2</v>
      </c>
      <c r="V171" s="5">
        <v>2</v>
      </c>
      <c r="W171" s="5">
        <v>2</v>
      </c>
      <c r="X171" s="5">
        <v>2</v>
      </c>
      <c r="Y171" s="5">
        <v>2</v>
      </c>
      <c r="Z171" s="5">
        <v>2</v>
      </c>
      <c r="AA171" s="5">
        <v>2</v>
      </c>
      <c r="AB171" s="3">
        <v>0</v>
      </c>
      <c r="AC171" s="5">
        <v>0</v>
      </c>
    </row>
    <row r="172" spans="1:29" x14ac:dyDescent="0.3">
      <c r="A172" s="53"/>
      <c r="B172" s="53"/>
      <c r="C172" s="28"/>
      <c r="D172" s="29"/>
      <c r="E172" s="28"/>
      <c r="F172" s="29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24">
        <v>-1</v>
      </c>
      <c r="AC172" s="5"/>
    </row>
    <row r="173" spans="1:29" x14ac:dyDescent="0.3">
      <c r="A173" s="53"/>
      <c r="B173" s="53"/>
      <c r="C173" s="33" t="s">
        <v>108</v>
      </c>
      <c r="D173" s="33"/>
      <c r="E173" s="28" t="s">
        <v>59</v>
      </c>
      <c r="F173" s="29"/>
      <c r="G173" s="5">
        <v>1</v>
      </c>
      <c r="H173" s="5"/>
      <c r="I173" s="5">
        <v>1</v>
      </c>
      <c r="J173" s="5">
        <v>1</v>
      </c>
      <c r="K173" s="5">
        <v>1</v>
      </c>
      <c r="L173" s="5">
        <v>1</v>
      </c>
      <c r="M173" s="5">
        <v>1</v>
      </c>
      <c r="N173" s="5">
        <v>1</v>
      </c>
      <c r="O173" s="5">
        <v>1</v>
      </c>
      <c r="P173" s="5">
        <v>1</v>
      </c>
      <c r="Q173" s="5">
        <v>1</v>
      </c>
      <c r="R173" s="5">
        <v>1</v>
      </c>
      <c r="S173" s="5">
        <v>1</v>
      </c>
      <c r="T173" s="5">
        <v>1</v>
      </c>
      <c r="U173" s="5">
        <v>1</v>
      </c>
      <c r="V173" s="5">
        <v>1</v>
      </c>
      <c r="W173" s="5">
        <v>1</v>
      </c>
      <c r="X173" s="5">
        <v>1</v>
      </c>
      <c r="Y173" s="5">
        <v>1</v>
      </c>
      <c r="Z173" s="5">
        <v>1</v>
      </c>
      <c r="AA173" s="5">
        <v>1</v>
      </c>
      <c r="AB173" s="3">
        <v>0</v>
      </c>
      <c r="AC173" s="5">
        <v>0</v>
      </c>
    </row>
    <row r="174" spans="1:29" x14ac:dyDescent="0.3">
      <c r="A174" s="53"/>
      <c r="B174" s="53"/>
      <c r="C174" s="30" t="s">
        <v>39</v>
      </c>
      <c r="D174" s="31"/>
      <c r="E174" s="28" t="s">
        <v>59</v>
      </c>
      <c r="F174" s="29"/>
      <c r="G174" s="5">
        <v>1</v>
      </c>
      <c r="H174" s="5"/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1</v>
      </c>
      <c r="O174" s="5">
        <v>1</v>
      </c>
      <c r="P174" s="5">
        <v>1</v>
      </c>
      <c r="Q174" s="5">
        <v>1</v>
      </c>
      <c r="R174" s="5">
        <v>1</v>
      </c>
      <c r="S174" s="5">
        <v>1</v>
      </c>
      <c r="T174" s="5">
        <v>1</v>
      </c>
      <c r="U174" s="5">
        <v>1</v>
      </c>
      <c r="V174" s="5">
        <v>1</v>
      </c>
      <c r="W174" s="5">
        <v>1</v>
      </c>
      <c r="X174" s="5">
        <v>1</v>
      </c>
      <c r="Y174" s="5">
        <v>1</v>
      </c>
      <c r="Z174" s="5">
        <v>1</v>
      </c>
      <c r="AA174" s="5">
        <v>1</v>
      </c>
      <c r="AB174" s="3">
        <v>0</v>
      </c>
      <c r="AC174" s="5">
        <v>0</v>
      </c>
    </row>
    <row r="175" spans="1:29" x14ac:dyDescent="0.3">
      <c r="A175" s="53"/>
      <c r="B175" s="53"/>
      <c r="C175" s="30" t="s">
        <v>40</v>
      </c>
      <c r="D175" s="31"/>
      <c r="E175" s="28" t="s">
        <v>60</v>
      </c>
      <c r="F175" s="29"/>
      <c r="G175" s="5">
        <v>1</v>
      </c>
      <c r="H175" s="5"/>
      <c r="I175" s="5">
        <v>1</v>
      </c>
      <c r="J175" s="5">
        <v>1</v>
      </c>
      <c r="K175" s="5">
        <v>1</v>
      </c>
      <c r="L175" s="5">
        <v>1</v>
      </c>
      <c r="M175" s="5">
        <v>1</v>
      </c>
      <c r="N175" s="5">
        <v>1</v>
      </c>
      <c r="O175" s="5">
        <v>1</v>
      </c>
      <c r="P175" s="5">
        <v>1</v>
      </c>
      <c r="Q175" s="5">
        <v>1</v>
      </c>
      <c r="R175" s="5">
        <v>1</v>
      </c>
      <c r="S175" s="5">
        <v>1</v>
      </c>
      <c r="T175" s="5">
        <v>1</v>
      </c>
      <c r="U175" s="5">
        <v>1</v>
      </c>
      <c r="V175" s="5">
        <v>1</v>
      </c>
      <c r="W175" s="5">
        <v>1</v>
      </c>
      <c r="X175" s="5">
        <v>1</v>
      </c>
      <c r="Y175" s="5">
        <v>1</v>
      </c>
      <c r="Z175" s="5">
        <v>1</v>
      </c>
      <c r="AA175" s="5">
        <v>1</v>
      </c>
      <c r="AB175" s="3">
        <v>0</v>
      </c>
      <c r="AC175" s="5">
        <v>0</v>
      </c>
    </row>
    <row r="176" spans="1:29" x14ac:dyDescent="0.3">
      <c r="A176" s="53"/>
      <c r="B176" s="53"/>
      <c r="C176" s="30" t="s">
        <v>38</v>
      </c>
      <c r="D176" s="31"/>
      <c r="E176" s="28" t="s">
        <v>113</v>
      </c>
      <c r="F176" s="29"/>
      <c r="G176" s="5">
        <v>1</v>
      </c>
      <c r="H176" s="5"/>
      <c r="I176" s="5">
        <v>1</v>
      </c>
      <c r="J176" s="5">
        <v>1</v>
      </c>
      <c r="K176" s="5">
        <v>1</v>
      </c>
      <c r="L176" s="5">
        <v>1</v>
      </c>
      <c r="M176" s="5">
        <v>1</v>
      </c>
      <c r="N176" s="5">
        <v>1</v>
      </c>
      <c r="O176" s="5">
        <v>1</v>
      </c>
      <c r="P176" s="5">
        <v>1</v>
      </c>
      <c r="Q176" s="5">
        <v>1</v>
      </c>
      <c r="R176" s="5">
        <v>1</v>
      </c>
      <c r="S176" s="5">
        <v>1</v>
      </c>
      <c r="T176" s="5">
        <v>1</v>
      </c>
      <c r="U176" s="5">
        <v>1</v>
      </c>
      <c r="V176" s="5">
        <v>1</v>
      </c>
      <c r="W176" s="5">
        <v>1</v>
      </c>
      <c r="X176" s="5">
        <v>1</v>
      </c>
      <c r="Y176" s="5">
        <v>1</v>
      </c>
      <c r="Z176" s="5">
        <v>1</v>
      </c>
      <c r="AA176" s="5">
        <v>1</v>
      </c>
      <c r="AB176" s="3">
        <v>0</v>
      </c>
      <c r="AC176" s="5">
        <v>0</v>
      </c>
    </row>
    <row r="177" spans="1:29" x14ac:dyDescent="0.3">
      <c r="A177" s="53"/>
      <c r="B177" s="53"/>
      <c r="C177" s="30" t="s">
        <v>109</v>
      </c>
      <c r="D177" s="31"/>
      <c r="E177" s="28" t="s">
        <v>61</v>
      </c>
      <c r="F177" s="29"/>
      <c r="G177" s="5">
        <v>3</v>
      </c>
      <c r="H177" s="5"/>
      <c r="I177" s="5">
        <v>3</v>
      </c>
      <c r="J177" s="5">
        <v>3</v>
      </c>
      <c r="K177" s="5">
        <v>3</v>
      </c>
      <c r="L177" s="5">
        <v>3</v>
      </c>
      <c r="M177" s="5">
        <v>3</v>
      </c>
      <c r="N177" s="5">
        <v>3</v>
      </c>
      <c r="O177" s="5">
        <v>3</v>
      </c>
      <c r="P177" s="5">
        <v>3</v>
      </c>
      <c r="Q177" s="5">
        <v>3</v>
      </c>
      <c r="R177" s="5">
        <v>3</v>
      </c>
      <c r="S177" s="5">
        <v>3</v>
      </c>
      <c r="T177" s="5">
        <v>3</v>
      </c>
      <c r="U177" s="5">
        <v>3</v>
      </c>
      <c r="V177" s="5">
        <v>3</v>
      </c>
      <c r="W177" s="5">
        <v>3</v>
      </c>
      <c r="X177" s="5">
        <v>3</v>
      </c>
      <c r="Y177" s="5">
        <v>2</v>
      </c>
      <c r="Z177" s="5">
        <v>1</v>
      </c>
      <c r="AA177" s="5">
        <v>1</v>
      </c>
      <c r="AB177" s="3">
        <v>0</v>
      </c>
      <c r="AC177" s="5">
        <v>0</v>
      </c>
    </row>
    <row r="178" spans="1:29" x14ac:dyDescent="0.3">
      <c r="A178" s="53"/>
      <c r="B178" s="53"/>
      <c r="C178" s="30" t="s">
        <v>110</v>
      </c>
      <c r="D178" s="31"/>
      <c r="E178" s="28" t="s">
        <v>53</v>
      </c>
      <c r="F178" s="29"/>
      <c r="G178" s="5">
        <v>2</v>
      </c>
      <c r="H178" s="5"/>
      <c r="I178" s="5">
        <v>3</v>
      </c>
      <c r="J178" s="5">
        <v>3</v>
      </c>
      <c r="K178" s="5">
        <v>3</v>
      </c>
      <c r="L178" s="5">
        <v>3</v>
      </c>
      <c r="M178" s="5">
        <v>3</v>
      </c>
      <c r="N178" s="5">
        <v>3</v>
      </c>
      <c r="O178" s="5">
        <v>3</v>
      </c>
      <c r="P178" s="5">
        <v>3</v>
      </c>
      <c r="Q178" s="5">
        <v>3</v>
      </c>
      <c r="R178" s="5">
        <v>3</v>
      </c>
      <c r="S178" s="5">
        <v>3</v>
      </c>
      <c r="T178" s="5">
        <v>3</v>
      </c>
      <c r="U178" s="5">
        <v>3</v>
      </c>
      <c r="V178" s="5">
        <v>3</v>
      </c>
      <c r="W178" s="5">
        <v>3</v>
      </c>
      <c r="X178" s="5">
        <v>3</v>
      </c>
      <c r="Y178" s="5">
        <v>2</v>
      </c>
      <c r="Z178" s="5">
        <v>2</v>
      </c>
      <c r="AA178" s="5">
        <v>2</v>
      </c>
      <c r="AB178" s="3">
        <v>0</v>
      </c>
      <c r="AC178" s="5">
        <v>0</v>
      </c>
    </row>
    <row r="179" spans="1:29" x14ac:dyDescent="0.3">
      <c r="A179" s="53"/>
      <c r="B179" s="53"/>
      <c r="C179" s="22"/>
      <c r="D179" s="23"/>
      <c r="E179" s="20"/>
      <c r="F179" s="21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24">
        <v>-1</v>
      </c>
      <c r="AC179" s="5"/>
    </row>
    <row r="180" spans="1:29" x14ac:dyDescent="0.3">
      <c r="A180" s="53"/>
      <c r="B180" s="53"/>
      <c r="C180" s="30" t="s">
        <v>111</v>
      </c>
      <c r="D180" s="31"/>
      <c r="E180" s="28" t="s">
        <v>53</v>
      </c>
      <c r="F180" s="29"/>
      <c r="G180" s="5">
        <v>3</v>
      </c>
      <c r="H180" s="5"/>
      <c r="I180" s="5">
        <v>3</v>
      </c>
      <c r="J180" s="5">
        <v>3</v>
      </c>
      <c r="K180" s="5">
        <v>3</v>
      </c>
      <c r="L180" s="5">
        <v>3</v>
      </c>
      <c r="M180" s="5">
        <v>3</v>
      </c>
      <c r="N180" s="5">
        <v>3</v>
      </c>
      <c r="O180" s="5">
        <v>3</v>
      </c>
      <c r="P180" s="5">
        <v>3</v>
      </c>
      <c r="Q180" s="5">
        <v>3</v>
      </c>
      <c r="R180" s="5">
        <v>3</v>
      </c>
      <c r="S180" s="5">
        <v>3</v>
      </c>
      <c r="T180" s="5">
        <v>3</v>
      </c>
      <c r="U180" s="5">
        <v>3</v>
      </c>
      <c r="V180" s="5">
        <v>3</v>
      </c>
      <c r="W180" s="5">
        <v>2</v>
      </c>
      <c r="X180" s="5">
        <v>2</v>
      </c>
      <c r="Y180" s="5">
        <v>1</v>
      </c>
      <c r="Z180" s="5">
        <v>1</v>
      </c>
      <c r="AA180" s="5">
        <v>1</v>
      </c>
      <c r="AB180" s="3">
        <v>0</v>
      </c>
      <c r="AC180" s="5">
        <v>0</v>
      </c>
    </row>
    <row r="181" spans="1:29" x14ac:dyDescent="0.3">
      <c r="A181" s="53"/>
      <c r="B181" s="53"/>
      <c r="C181" s="30" t="s">
        <v>112</v>
      </c>
      <c r="D181" s="31"/>
      <c r="E181" s="28" t="s">
        <v>62</v>
      </c>
      <c r="F181" s="29"/>
      <c r="G181" s="5">
        <v>1</v>
      </c>
      <c r="H181" s="5"/>
      <c r="I181" s="5">
        <v>1</v>
      </c>
      <c r="J181" s="5">
        <v>1</v>
      </c>
      <c r="K181" s="5">
        <v>1</v>
      </c>
      <c r="L181" s="5">
        <v>1</v>
      </c>
      <c r="M181" s="5">
        <v>1</v>
      </c>
      <c r="N181" s="5">
        <v>1</v>
      </c>
      <c r="O181" s="5">
        <v>1</v>
      </c>
      <c r="P181" s="5">
        <v>1</v>
      </c>
      <c r="Q181" s="5">
        <v>1</v>
      </c>
      <c r="R181" s="5">
        <v>1</v>
      </c>
      <c r="S181" s="5">
        <v>1</v>
      </c>
      <c r="T181" s="5">
        <v>1</v>
      </c>
      <c r="U181" s="5">
        <v>1</v>
      </c>
      <c r="V181" s="5">
        <v>1</v>
      </c>
      <c r="W181" s="5">
        <v>1</v>
      </c>
      <c r="X181" s="5">
        <v>1</v>
      </c>
      <c r="Y181" s="5">
        <v>1</v>
      </c>
      <c r="Z181" s="5">
        <v>1</v>
      </c>
      <c r="AA181" s="5">
        <v>1</v>
      </c>
      <c r="AB181" s="3">
        <v>0</v>
      </c>
      <c r="AC181" s="5">
        <v>0</v>
      </c>
    </row>
    <row r="182" spans="1:29" x14ac:dyDescent="0.3">
      <c r="A182" s="53"/>
      <c r="B182" s="43" t="s">
        <v>26</v>
      </c>
      <c r="C182" s="54" t="s">
        <v>114</v>
      </c>
      <c r="D182" s="33"/>
      <c r="E182" s="28" t="s">
        <v>61</v>
      </c>
      <c r="F182" s="29"/>
      <c r="G182" s="5">
        <v>1</v>
      </c>
      <c r="H182" s="5"/>
      <c r="I182" s="5">
        <v>1</v>
      </c>
      <c r="J182" s="5">
        <v>1</v>
      </c>
      <c r="K182" s="5">
        <v>1</v>
      </c>
      <c r="L182" s="5">
        <v>1</v>
      </c>
      <c r="M182" s="5">
        <v>1</v>
      </c>
      <c r="N182" s="5">
        <v>1</v>
      </c>
      <c r="O182" s="5">
        <v>1</v>
      </c>
      <c r="P182" s="5">
        <v>1</v>
      </c>
      <c r="Q182" s="5">
        <v>1</v>
      </c>
      <c r="R182" s="5">
        <v>1</v>
      </c>
      <c r="S182" s="5">
        <v>1</v>
      </c>
      <c r="T182" s="5">
        <v>1</v>
      </c>
      <c r="U182" s="5">
        <v>1</v>
      </c>
      <c r="V182" s="5">
        <v>1</v>
      </c>
      <c r="W182" s="5">
        <v>1</v>
      </c>
      <c r="X182" s="5">
        <v>1</v>
      </c>
      <c r="Y182" s="5">
        <v>1</v>
      </c>
      <c r="Z182" s="5">
        <v>1</v>
      </c>
      <c r="AA182" s="5">
        <v>1</v>
      </c>
      <c r="AB182" s="5">
        <v>1</v>
      </c>
      <c r="AC182" s="3">
        <v>0</v>
      </c>
    </row>
    <row r="183" spans="1:29" x14ac:dyDescent="0.3">
      <c r="A183" s="53"/>
      <c r="B183" s="53"/>
      <c r="C183" s="33" t="s">
        <v>115</v>
      </c>
      <c r="D183" s="33"/>
      <c r="E183" s="28" t="s">
        <v>61</v>
      </c>
      <c r="F183" s="29"/>
      <c r="G183" s="5">
        <v>1</v>
      </c>
      <c r="H183" s="5"/>
      <c r="I183" s="5">
        <v>1</v>
      </c>
      <c r="J183" s="5">
        <v>1</v>
      </c>
      <c r="K183" s="5">
        <v>1</v>
      </c>
      <c r="L183" s="5">
        <v>1</v>
      </c>
      <c r="M183" s="5">
        <v>1</v>
      </c>
      <c r="N183" s="5">
        <v>1</v>
      </c>
      <c r="O183" s="5">
        <v>1</v>
      </c>
      <c r="P183" s="5">
        <v>1</v>
      </c>
      <c r="Q183" s="5">
        <v>1</v>
      </c>
      <c r="R183" s="5">
        <v>1</v>
      </c>
      <c r="S183" s="5">
        <v>1</v>
      </c>
      <c r="T183" s="5">
        <v>1</v>
      </c>
      <c r="U183" s="5">
        <v>1</v>
      </c>
      <c r="V183" s="5">
        <v>1</v>
      </c>
      <c r="W183" s="5">
        <v>1</v>
      </c>
      <c r="X183" s="5">
        <v>1</v>
      </c>
      <c r="Y183" s="5">
        <v>1</v>
      </c>
      <c r="Z183" s="5">
        <v>1</v>
      </c>
      <c r="AA183" s="5">
        <v>1</v>
      </c>
      <c r="AB183" s="5">
        <v>1</v>
      </c>
      <c r="AC183" s="3">
        <v>0</v>
      </c>
    </row>
    <row r="184" spans="1:29" x14ac:dyDescent="0.3">
      <c r="A184" s="53"/>
      <c r="B184" s="53"/>
      <c r="C184" s="33" t="s">
        <v>116</v>
      </c>
      <c r="D184" s="33"/>
      <c r="E184" s="28" t="s">
        <v>53</v>
      </c>
      <c r="F184" s="29"/>
      <c r="G184" s="5">
        <v>1</v>
      </c>
      <c r="H184" s="5"/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5">
        <v>1</v>
      </c>
      <c r="O184" s="5">
        <v>1</v>
      </c>
      <c r="P184" s="5">
        <v>1</v>
      </c>
      <c r="Q184" s="5">
        <v>1</v>
      </c>
      <c r="R184" s="5">
        <v>1</v>
      </c>
      <c r="S184" s="5">
        <v>1</v>
      </c>
      <c r="T184" s="5">
        <v>1</v>
      </c>
      <c r="U184" s="5">
        <v>1</v>
      </c>
      <c r="V184" s="5">
        <v>1</v>
      </c>
      <c r="W184" s="5">
        <v>1</v>
      </c>
      <c r="X184" s="5">
        <v>1</v>
      </c>
      <c r="Y184" s="5">
        <v>1</v>
      </c>
      <c r="Z184" s="5">
        <v>1</v>
      </c>
      <c r="AA184" s="5">
        <v>1</v>
      </c>
      <c r="AB184" s="5">
        <v>1</v>
      </c>
      <c r="AC184" s="3">
        <v>0</v>
      </c>
    </row>
    <row r="185" spans="1:29" x14ac:dyDescent="0.3">
      <c r="A185" s="53"/>
      <c r="B185" s="53"/>
      <c r="C185" s="33" t="s">
        <v>117</v>
      </c>
      <c r="D185" s="33"/>
      <c r="E185" s="28" t="s">
        <v>53</v>
      </c>
      <c r="F185" s="29"/>
      <c r="G185" s="5">
        <v>1</v>
      </c>
      <c r="H185" s="5"/>
      <c r="I185" s="5">
        <v>1</v>
      </c>
      <c r="J185" s="5">
        <v>1</v>
      </c>
      <c r="K185" s="5">
        <v>1</v>
      </c>
      <c r="L185" s="5">
        <v>1</v>
      </c>
      <c r="M185" s="5">
        <v>1</v>
      </c>
      <c r="N185" s="5">
        <v>1</v>
      </c>
      <c r="O185" s="5">
        <v>1</v>
      </c>
      <c r="P185" s="5">
        <v>1</v>
      </c>
      <c r="Q185" s="5">
        <v>1</v>
      </c>
      <c r="R185" s="5">
        <v>1</v>
      </c>
      <c r="S185" s="5">
        <v>1</v>
      </c>
      <c r="T185" s="5">
        <v>1</v>
      </c>
      <c r="U185" s="5">
        <v>1</v>
      </c>
      <c r="V185" s="5">
        <v>1</v>
      </c>
      <c r="W185" s="5">
        <v>1</v>
      </c>
      <c r="X185" s="5">
        <v>1</v>
      </c>
      <c r="Y185" s="5">
        <v>1</v>
      </c>
      <c r="Z185" s="5">
        <v>1</v>
      </c>
      <c r="AA185" s="5">
        <v>1</v>
      </c>
      <c r="AB185" s="5">
        <v>1</v>
      </c>
      <c r="AC185" s="3">
        <v>0</v>
      </c>
    </row>
    <row r="186" spans="1:29" x14ac:dyDescent="0.3">
      <c r="A186" s="53"/>
      <c r="B186" s="53"/>
      <c r="C186" s="33" t="s">
        <v>118</v>
      </c>
      <c r="D186" s="33"/>
      <c r="E186" s="28" t="s">
        <v>62</v>
      </c>
      <c r="F186" s="29"/>
      <c r="G186" s="5">
        <v>1</v>
      </c>
      <c r="H186" s="5"/>
      <c r="I186" s="5">
        <v>1</v>
      </c>
      <c r="J186" s="5">
        <v>1</v>
      </c>
      <c r="K186" s="5">
        <v>1</v>
      </c>
      <c r="L186" s="5">
        <v>1</v>
      </c>
      <c r="M186" s="5">
        <v>1</v>
      </c>
      <c r="N186" s="5">
        <v>1</v>
      </c>
      <c r="O186" s="5">
        <v>1</v>
      </c>
      <c r="P186" s="5">
        <v>1</v>
      </c>
      <c r="Q186" s="5">
        <v>1</v>
      </c>
      <c r="R186" s="5">
        <v>1</v>
      </c>
      <c r="S186" s="5">
        <v>1</v>
      </c>
      <c r="T186" s="5">
        <v>1</v>
      </c>
      <c r="U186" s="5">
        <v>1</v>
      </c>
      <c r="V186" s="5">
        <v>1</v>
      </c>
      <c r="W186" s="5">
        <v>1</v>
      </c>
      <c r="X186" s="5">
        <v>1</v>
      </c>
      <c r="Y186" s="5">
        <v>1</v>
      </c>
      <c r="Z186" s="5">
        <v>1</v>
      </c>
      <c r="AA186" s="5">
        <v>1</v>
      </c>
      <c r="AB186" s="5">
        <v>1</v>
      </c>
      <c r="AC186" s="3">
        <v>0</v>
      </c>
    </row>
    <row r="187" spans="1:29" x14ac:dyDescent="0.3">
      <c r="A187" s="53"/>
      <c r="B187" s="53"/>
      <c r="C187" s="30" t="s">
        <v>41</v>
      </c>
      <c r="D187" s="31"/>
      <c r="E187" s="28" t="s">
        <v>62</v>
      </c>
      <c r="F187" s="29"/>
      <c r="G187" s="5">
        <v>1</v>
      </c>
      <c r="H187" s="5"/>
      <c r="I187" s="5">
        <v>1</v>
      </c>
      <c r="J187" s="5">
        <v>1</v>
      </c>
      <c r="K187" s="5">
        <v>1</v>
      </c>
      <c r="L187" s="5">
        <v>1</v>
      </c>
      <c r="M187" s="5">
        <v>1</v>
      </c>
      <c r="N187" s="5">
        <v>1</v>
      </c>
      <c r="O187" s="5">
        <v>1</v>
      </c>
      <c r="P187" s="5">
        <v>1</v>
      </c>
      <c r="Q187" s="5">
        <v>1</v>
      </c>
      <c r="R187" s="5">
        <v>1</v>
      </c>
      <c r="S187" s="5">
        <v>1</v>
      </c>
      <c r="T187" s="5">
        <v>1</v>
      </c>
      <c r="U187" s="5">
        <v>1</v>
      </c>
      <c r="V187" s="5">
        <v>1</v>
      </c>
      <c r="W187" s="5">
        <v>1</v>
      </c>
      <c r="X187" s="5">
        <v>1</v>
      </c>
      <c r="Y187" s="5">
        <v>1</v>
      </c>
      <c r="Z187" s="5">
        <v>1</v>
      </c>
      <c r="AA187" s="5">
        <v>1</v>
      </c>
      <c r="AB187" s="5">
        <v>1</v>
      </c>
      <c r="AC187" s="3">
        <v>0</v>
      </c>
    </row>
    <row r="188" spans="1:29" x14ac:dyDescent="0.3">
      <c r="A188" s="53"/>
      <c r="B188" s="53"/>
      <c r="C188" s="30" t="s">
        <v>119</v>
      </c>
      <c r="D188" s="31"/>
      <c r="E188" s="28" t="s">
        <v>60</v>
      </c>
      <c r="F188" s="29"/>
      <c r="G188" s="5">
        <v>1</v>
      </c>
      <c r="H188" s="5"/>
      <c r="I188" s="5">
        <v>1</v>
      </c>
      <c r="J188" s="5">
        <v>1</v>
      </c>
      <c r="K188" s="5">
        <v>1</v>
      </c>
      <c r="L188" s="5">
        <v>1</v>
      </c>
      <c r="M188" s="5">
        <v>1</v>
      </c>
      <c r="N188" s="5">
        <v>1</v>
      </c>
      <c r="O188" s="5">
        <v>1</v>
      </c>
      <c r="P188" s="5">
        <v>1</v>
      </c>
      <c r="Q188" s="5">
        <v>1</v>
      </c>
      <c r="R188" s="5">
        <v>1</v>
      </c>
      <c r="S188" s="5">
        <v>1</v>
      </c>
      <c r="T188" s="5">
        <v>1</v>
      </c>
      <c r="U188" s="5">
        <v>1</v>
      </c>
      <c r="V188" s="5">
        <v>1</v>
      </c>
      <c r="W188" s="5">
        <v>1</v>
      </c>
      <c r="X188" s="5">
        <v>1</v>
      </c>
      <c r="Y188" s="5">
        <v>1</v>
      </c>
      <c r="Z188" s="5">
        <v>1</v>
      </c>
      <c r="AA188" s="5">
        <v>1</v>
      </c>
      <c r="AB188" s="5">
        <v>1</v>
      </c>
      <c r="AC188" s="3">
        <v>0</v>
      </c>
    </row>
    <row r="189" spans="1:29" x14ac:dyDescent="0.3">
      <c r="A189" s="53"/>
      <c r="B189" s="53"/>
      <c r="C189" s="30" t="s">
        <v>120</v>
      </c>
      <c r="D189" s="31"/>
      <c r="E189" s="28" t="s">
        <v>60</v>
      </c>
      <c r="F189" s="29"/>
      <c r="G189" s="5">
        <v>1</v>
      </c>
      <c r="H189" s="5"/>
      <c r="I189" s="5">
        <v>1</v>
      </c>
      <c r="J189" s="5">
        <v>1</v>
      </c>
      <c r="K189" s="5">
        <v>1</v>
      </c>
      <c r="L189" s="5">
        <v>1</v>
      </c>
      <c r="M189" s="5">
        <v>1</v>
      </c>
      <c r="N189" s="5">
        <v>1</v>
      </c>
      <c r="O189" s="5">
        <v>1</v>
      </c>
      <c r="P189" s="5">
        <v>1</v>
      </c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1</v>
      </c>
      <c r="X189" s="5">
        <v>1</v>
      </c>
      <c r="Y189" s="5">
        <v>1</v>
      </c>
      <c r="Z189" s="5">
        <v>1</v>
      </c>
      <c r="AA189" s="5">
        <v>1</v>
      </c>
      <c r="AB189" s="5">
        <v>1</v>
      </c>
      <c r="AC189" s="3">
        <v>0</v>
      </c>
    </row>
    <row r="190" spans="1:29" x14ac:dyDescent="0.3">
      <c r="A190" s="53"/>
      <c r="B190" s="53"/>
      <c r="C190" s="30" t="s">
        <v>121</v>
      </c>
      <c r="D190" s="31"/>
      <c r="E190" s="28" t="s">
        <v>59</v>
      </c>
      <c r="F190" s="29"/>
      <c r="G190" s="5">
        <v>1</v>
      </c>
      <c r="H190" s="5"/>
      <c r="I190" s="5">
        <v>1</v>
      </c>
      <c r="J190" s="5">
        <v>1</v>
      </c>
      <c r="K190" s="5">
        <v>1</v>
      </c>
      <c r="L190" s="5">
        <v>1</v>
      </c>
      <c r="M190" s="5">
        <v>1</v>
      </c>
      <c r="N190" s="5">
        <v>1</v>
      </c>
      <c r="O190" s="5">
        <v>1</v>
      </c>
      <c r="P190" s="5">
        <v>1</v>
      </c>
      <c r="Q190" s="5">
        <v>1</v>
      </c>
      <c r="R190" s="5">
        <v>1</v>
      </c>
      <c r="S190" s="5">
        <v>1</v>
      </c>
      <c r="T190" s="5">
        <v>1</v>
      </c>
      <c r="U190" s="5">
        <v>1</v>
      </c>
      <c r="V190" s="5">
        <v>1</v>
      </c>
      <c r="W190" s="5">
        <v>1</v>
      </c>
      <c r="X190" s="5">
        <v>1</v>
      </c>
      <c r="Y190" s="5">
        <v>1</v>
      </c>
      <c r="Z190" s="5">
        <v>1</v>
      </c>
      <c r="AA190" s="5">
        <v>1</v>
      </c>
      <c r="AB190" s="5">
        <v>1</v>
      </c>
      <c r="AC190" s="3">
        <v>0</v>
      </c>
    </row>
    <row r="191" spans="1:29" x14ac:dyDescent="0.3">
      <c r="A191" s="53"/>
      <c r="B191" s="53"/>
      <c r="C191" s="30" t="s">
        <v>122</v>
      </c>
      <c r="D191" s="31"/>
      <c r="E191" s="28" t="s">
        <v>59</v>
      </c>
      <c r="F191" s="29"/>
      <c r="G191" s="5">
        <v>1</v>
      </c>
      <c r="H191" s="5"/>
      <c r="I191" s="5">
        <v>1</v>
      </c>
      <c r="J191" s="5">
        <v>1</v>
      </c>
      <c r="K191" s="5">
        <v>1</v>
      </c>
      <c r="L191" s="5">
        <v>1</v>
      </c>
      <c r="M191" s="5">
        <v>1</v>
      </c>
      <c r="N191" s="5">
        <v>1</v>
      </c>
      <c r="O191" s="5">
        <v>1</v>
      </c>
      <c r="P191" s="5">
        <v>1</v>
      </c>
      <c r="Q191" s="5">
        <v>1</v>
      </c>
      <c r="R191" s="5">
        <v>1</v>
      </c>
      <c r="S191" s="5">
        <v>1</v>
      </c>
      <c r="T191" s="5">
        <v>1</v>
      </c>
      <c r="U191" s="5">
        <v>1</v>
      </c>
      <c r="V191" s="5">
        <v>1</v>
      </c>
      <c r="W191" s="5">
        <v>1</v>
      </c>
      <c r="X191" s="5">
        <v>1</v>
      </c>
      <c r="Y191" s="5">
        <v>1</v>
      </c>
      <c r="Z191" s="5">
        <v>1</v>
      </c>
      <c r="AA191" s="5">
        <v>1</v>
      </c>
      <c r="AB191" s="5">
        <v>1</v>
      </c>
      <c r="AC191" s="3">
        <v>0</v>
      </c>
    </row>
    <row r="192" spans="1:29" x14ac:dyDescent="0.3">
      <c r="A192" s="53"/>
      <c r="B192" s="43" t="s">
        <v>27</v>
      </c>
      <c r="C192" s="30" t="s">
        <v>28</v>
      </c>
      <c r="D192" s="31"/>
      <c r="E192" s="28" t="s">
        <v>34</v>
      </c>
      <c r="F192" s="29"/>
      <c r="G192" s="5">
        <v>5</v>
      </c>
      <c r="H192" s="5"/>
      <c r="I192" s="5">
        <v>5</v>
      </c>
      <c r="J192" s="5">
        <v>5</v>
      </c>
      <c r="K192" s="5">
        <v>5</v>
      </c>
      <c r="L192" s="5">
        <v>5</v>
      </c>
      <c r="M192" s="5">
        <v>5</v>
      </c>
      <c r="N192" s="5">
        <v>5</v>
      </c>
      <c r="O192" s="5">
        <v>5</v>
      </c>
      <c r="P192" s="5">
        <v>5</v>
      </c>
      <c r="Q192" s="5">
        <v>5</v>
      </c>
      <c r="R192" s="5">
        <v>5</v>
      </c>
      <c r="S192" s="5">
        <v>5</v>
      </c>
      <c r="T192" s="5">
        <v>5</v>
      </c>
      <c r="U192" s="5">
        <v>5</v>
      </c>
      <c r="V192" s="5">
        <v>5</v>
      </c>
      <c r="W192" s="5">
        <v>5</v>
      </c>
      <c r="X192" s="5">
        <v>5</v>
      </c>
      <c r="Y192" s="5">
        <v>5</v>
      </c>
      <c r="Z192" s="5">
        <v>5</v>
      </c>
      <c r="AA192" s="5">
        <v>3</v>
      </c>
      <c r="AB192" s="5">
        <v>2</v>
      </c>
      <c r="AC192" s="3">
        <v>0</v>
      </c>
    </row>
    <row r="193" spans="1:29" x14ac:dyDescent="0.3">
      <c r="A193" s="53"/>
      <c r="B193" s="44"/>
      <c r="C193" s="30" t="s">
        <v>29</v>
      </c>
      <c r="D193" s="31"/>
      <c r="E193" s="45" t="s">
        <v>34</v>
      </c>
      <c r="F193" s="46"/>
      <c r="G193" s="5">
        <v>5</v>
      </c>
      <c r="H193" s="5"/>
      <c r="I193" s="5">
        <v>5</v>
      </c>
      <c r="J193" s="5">
        <v>5</v>
      </c>
      <c r="K193" s="5">
        <v>5</v>
      </c>
      <c r="L193" s="5">
        <v>5</v>
      </c>
      <c r="M193" s="5">
        <v>5</v>
      </c>
      <c r="N193" s="5">
        <v>5</v>
      </c>
      <c r="O193" s="5">
        <v>5</v>
      </c>
      <c r="P193" s="5">
        <v>5</v>
      </c>
      <c r="Q193" s="5">
        <v>5</v>
      </c>
      <c r="R193" s="5">
        <v>5</v>
      </c>
      <c r="S193" s="5">
        <v>5</v>
      </c>
      <c r="T193" s="5">
        <v>5</v>
      </c>
      <c r="U193" s="5">
        <v>5</v>
      </c>
      <c r="V193" s="5">
        <v>5</v>
      </c>
      <c r="W193" s="5">
        <v>5</v>
      </c>
      <c r="X193" s="5">
        <v>5</v>
      </c>
      <c r="Y193" s="5">
        <v>5</v>
      </c>
      <c r="Z193" s="5">
        <v>5</v>
      </c>
      <c r="AA193" s="5">
        <v>3</v>
      </c>
      <c r="AB193" s="5">
        <v>2</v>
      </c>
      <c r="AC193" s="3">
        <v>0</v>
      </c>
    </row>
    <row r="194" spans="1:29" x14ac:dyDescent="0.3">
      <c r="A194" s="53"/>
      <c r="B194" s="47" t="s">
        <v>13</v>
      </c>
      <c r="C194" s="48"/>
      <c r="D194" s="49"/>
      <c r="E194" s="36" t="s">
        <v>11</v>
      </c>
      <c r="F194" s="37"/>
      <c r="G194" s="36">
        <f>SUM(G102:G193)</f>
        <v>260</v>
      </c>
      <c r="H194" s="37"/>
      <c r="I194" s="4">
        <f t="shared" ref="I194:AC194" si="2">SUM(I102:I193)</f>
        <v>242</v>
      </c>
      <c r="J194" s="4">
        <f t="shared" si="2"/>
        <v>222</v>
      </c>
      <c r="K194" s="4">
        <f t="shared" si="2"/>
        <v>209</v>
      </c>
      <c r="L194" s="4">
        <f t="shared" si="2"/>
        <v>202</v>
      </c>
      <c r="M194" s="4">
        <f t="shared" si="2"/>
        <v>192</v>
      </c>
      <c r="N194" s="4">
        <f t="shared" si="2"/>
        <v>180</v>
      </c>
      <c r="O194" s="4">
        <f t="shared" si="2"/>
        <v>173</v>
      </c>
      <c r="P194" s="4">
        <f t="shared" si="2"/>
        <v>165</v>
      </c>
      <c r="Q194" s="4">
        <f t="shared" si="2"/>
        <v>156</v>
      </c>
      <c r="R194" s="4">
        <f t="shared" si="2"/>
        <v>141</v>
      </c>
      <c r="S194" s="4">
        <f t="shared" si="2"/>
        <v>124</v>
      </c>
      <c r="T194" s="4">
        <f t="shared" si="2"/>
        <v>108</v>
      </c>
      <c r="U194" s="4">
        <f t="shared" si="2"/>
        <v>95</v>
      </c>
      <c r="V194" s="4">
        <f t="shared" si="2"/>
        <v>86</v>
      </c>
      <c r="W194" s="4">
        <f t="shared" si="2"/>
        <v>71</v>
      </c>
      <c r="X194" s="4">
        <f t="shared" si="2"/>
        <v>66</v>
      </c>
      <c r="Y194" s="4">
        <f t="shared" si="2"/>
        <v>56</v>
      </c>
      <c r="Z194" s="4">
        <f t="shared" si="2"/>
        <v>46</v>
      </c>
      <c r="AA194" s="4">
        <f t="shared" si="2"/>
        <v>26</v>
      </c>
      <c r="AB194" s="4">
        <f t="shared" si="2"/>
        <v>12</v>
      </c>
      <c r="AC194" s="4">
        <f t="shared" si="2"/>
        <v>0</v>
      </c>
    </row>
    <row r="195" spans="1:29" x14ac:dyDescent="0.3">
      <c r="A195" s="44"/>
      <c r="B195" s="50"/>
      <c r="C195" s="51"/>
      <c r="D195" s="52"/>
      <c r="E195" s="36" t="s">
        <v>12</v>
      </c>
      <c r="F195" s="37"/>
      <c r="G195" s="36"/>
      <c r="H195" s="37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201" spans="1:29" ht="29.4" customHeight="1" x14ac:dyDescent="0.3"/>
    <row r="202" spans="1:29" ht="52.8" customHeight="1" x14ac:dyDescent="0.3">
      <c r="E202" s="8"/>
      <c r="F202" s="8"/>
      <c r="G202" s="19">
        <v>45961</v>
      </c>
      <c r="H202" s="19">
        <v>45962</v>
      </c>
      <c r="I202" s="19">
        <v>45963</v>
      </c>
      <c r="J202" s="19">
        <v>45964</v>
      </c>
      <c r="K202" s="19">
        <v>45965</v>
      </c>
      <c r="L202" s="19">
        <v>45966</v>
      </c>
      <c r="M202" s="19">
        <v>45967</v>
      </c>
      <c r="N202" s="19">
        <v>45968</v>
      </c>
      <c r="O202" s="19">
        <v>45969</v>
      </c>
      <c r="P202" s="19">
        <v>45970</v>
      </c>
      <c r="Q202" s="19">
        <v>45971</v>
      </c>
      <c r="R202" s="19">
        <v>45972</v>
      </c>
      <c r="S202" s="19">
        <v>45973</v>
      </c>
      <c r="T202" s="19">
        <v>45974</v>
      </c>
      <c r="U202" s="19">
        <v>45975</v>
      </c>
      <c r="V202" s="19">
        <v>45976</v>
      </c>
      <c r="W202" s="19">
        <v>45977</v>
      </c>
      <c r="X202" s="19">
        <v>45978</v>
      </c>
      <c r="Y202" s="19">
        <v>45979</v>
      </c>
      <c r="Z202" s="19">
        <v>45980</v>
      </c>
      <c r="AA202" s="19">
        <v>45981</v>
      </c>
    </row>
    <row r="203" spans="1:29" x14ac:dyDescent="0.3">
      <c r="E203" s="8" t="s">
        <v>12</v>
      </c>
      <c r="F203" s="8"/>
      <c r="G203" s="5">
        <f t="shared" ref="G203:AA203" si="3">SUM(I16:I94)</f>
        <v>255</v>
      </c>
      <c r="H203" s="5">
        <f t="shared" si="3"/>
        <v>238</v>
      </c>
      <c r="I203" s="5">
        <f t="shared" si="3"/>
        <v>230</v>
      </c>
      <c r="J203" s="5">
        <f t="shared" si="3"/>
        <v>220</v>
      </c>
      <c r="K203" s="5">
        <f t="shared" si="3"/>
        <v>208</v>
      </c>
      <c r="L203" s="5">
        <f t="shared" si="3"/>
        <v>199</v>
      </c>
      <c r="M203" s="5">
        <f t="shared" si="3"/>
        <v>196</v>
      </c>
      <c r="N203" s="5">
        <f t="shared" si="3"/>
        <v>186</v>
      </c>
      <c r="O203" s="5">
        <f t="shared" si="3"/>
        <v>169</v>
      </c>
      <c r="P203" s="5">
        <f t="shared" si="3"/>
        <v>158</v>
      </c>
      <c r="Q203" s="5">
        <f t="shared" si="3"/>
        <v>142</v>
      </c>
      <c r="R203" s="5">
        <f t="shared" si="3"/>
        <v>121</v>
      </c>
      <c r="S203" s="5">
        <f t="shared" si="3"/>
        <v>107</v>
      </c>
      <c r="T203" s="5">
        <f t="shared" si="3"/>
        <v>95</v>
      </c>
      <c r="U203" s="5">
        <f t="shared" si="3"/>
        <v>86</v>
      </c>
      <c r="V203" s="5">
        <f t="shared" si="3"/>
        <v>75</v>
      </c>
      <c r="W203" s="5">
        <f t="shared" si="3"/>
        <v>66</v>
      </c>
      <c r="X203" s="5">
        <f t="shared" si="3"/>
        <v>47</v>
      </c>
      <c r="Y203" s="5">
        <f t="shared" si="3"/>
        <v>32</v>
      </c>
      <c r="Z203" s="5">
        <f t="shared" si="3"/>
        <v>20</v>
      </c>
      <c r="AA203" s="5">
        <f t="shared" si="3"/>
        <v>0</v>
      </c>
    </row>
    <row r="204" spans="1:29" x14ac:dyDescent="0.3">
      <c r="E204" s="8" t="s">
        <v>11</v>
      </c>
      <c r="F204" s="8"/>
      <c r="G204" s="5">
        <f t="shared" ref="G204:AA204" si="4">SUM(I102:I193)</f>
        <v>242</v>
      </c>
      <c r="H204" s="5">
        <f t="shared" si="4"/>
        <v>222</v>
      </c>
      <c r="I204" s="5">
        <f t="shared" si="4"/>
        <v>209</v>
      </c>
      <c r="J204" s="5">
        <f t="shared" si="4"/>
        <v>202</v>
      </c>
      <c r="K204" s="5">
        <f t="shared" si="4"/>
        <v>192</v>
      </c>
      <c r="L204" s="5">
        <f t="shared" si="4"/>
        <v>180</v>
      </c>
      <c r="M204" s="5">
        <f t="shared" si="4"/>
        <v>173</v>
      </c>
      <c r="N204" s="5">
        <f t="shared" si="4"/>
        <v>165</v>
      </c>
      <c r="O204" s="5">
        <f t="shared" si="4"/>
        <v>156</v>
      </c>
      <c r="P204" s="5">
        <f t="shared" si="4"/>
        <v>141</v>
      </c>
      <c r="Q204" s="5">
        <f t="shared" si="4"/>
        <v>124</v>
      </c>
      <c r="R204" s="5">
        <f t="shared" si="4"/>
        <v>108</v>
      </c>
      <c r="S204" s="5">
        <f t="shared" si="4"/>
        <v>95</v>
      </c>
      <c r="T204" s="5">
        <f t="shared" si="4"/>
        <v>86</v>
      </c>
      <c r="U204" s="5">
        <f t="shared" si="4"/>
        <v>71</v>
      </c>
      <c r="V204" s="5">
        <f t="shared" si="4"/>
        <v>66</v>
      </c>
      <c r="W204" s="5">
        <f t="shared" si="4"/>
        <v>56</v>
      </c>
      <c r="X204" s="5">
        <f t="shared" si="4"/>
        <v>46</v>
      </c>
      <c r="Y204" s="5">
        <f t="shared" si="4"/>
        <v>26</v>
      </c>
      <c r="Z204" s="5">
        <f t="shared" si="4"/>
        <v>12</v>
      </c>
      <c r="AA204" s="5">
        <f t="shared" si="4"/>
        <v>0</v>
      </c>
    </row>
    <row r="212" spans="3:3" x14ac:dyDescent="0.3">
      <c r="C212" s="7"/>
    </row>
  </sheetData>
  <mergeCells count="387">
    <mergeCell ref="E149:F149"/>
    <mergeCell ref="E145:F145"/>
    <mergeCell ref="C142:D142"/>
    <mergeCell ref="E142:F142"/>
    <mergeCell ref="C144:D144"/>
    <mergeCell ref="E144:F144"/>
    <mergeCell ref="C146:D146"/>
    <mergeCell ref="E146:F146"/>
    <mergeCell ref="C147:D147"/>
    <mergeCell ref="O1:Q1"/>
    <mergeCell ref="O2:Q2"/>
    <mergeCell ref="O3:Q3"/>
    <mergeCell ref="C1:F1"/>
    <mergeCell ref="C2:F2"/>
    <mergeCell ref="C3:F3"/>
    <mergeCell ref="C4:F4"/>
    <mergeCell ref="C122:D122"/>
    <mergeCell ref="E122:F122"/>
    <mergeCell ref="C88:D88"/>
    <mergeCell ref="E75:F75"/>
    <mergeCell ref="E76:F76"/>
    <mergeCell ref="C108:D108"/>
    <mergeCell ref="E108:F108"/>
    <mergeCell ref="E58:F58"/>
    <mergeCell ref="C60:D60"/>
    <mergeCell ref="E56:F56"/>
    <mergeCell ref="E57:F57"/>
    <mergeCell ref="E53:F53"/>
    <mergeCell ref="E47:F47"/>
    <mergeCell ref="C59:D59"/>
    <mergeCell ref="E55:F55"/>
    <mergeCell ref="E110:F110"/>
    <mergeCell ref="C110:D110"/>
    <mergeCell ref="B71:B82"/>
    <mergeCell ref="C76:D76"/>
    <mergeCell ref="C77:D77"/>
    <mergeCell ref="C78:D78"/>
    <mergeCell ref="B59:B70"/>
    <mergeCell ref="E77:F77"/>
    <mergeCell ref="E78:F78"/>
    <mergeCell ref="E71:F71"/>
    <mergeCell ref="E72:F72"/>
    <mergeCell ref="E74:F74"/>
    <mergeCell ref="E73:F73"/>
    <mergeCell ref="C68:D68"/>
    <mergeCell ref="E59:F59"/>
    <mergeCell ref="E60:F60"/>
    <mergeCell ref="E61:F61"/>
    <mergeCell ref="C81:D81"/>
    <mergeCell ref="C82:D82"/>
    <mergeCell ref="C69:D69"/>
    <mergeCell ref="C70:D70"/>
    <mergeCell ref="C71:D71"/>
    <mergeCell ref="C72:D72"/>
    <mergeCell ref="C75:D75"/>
    <mergeCell ref="C79:D79"/>
    <mergeCell ref="C80:D80"/>
    <mergeCell ref="E49:F49"/>
    <mergeCell ref="C58:D58"/>
    <mergeCell ref="E50:F50"/>
    <mergeCell ref="E51:F51"/>
    <mergeCell ref="E52:F52"/>
    <mergeCell ref="C57:D57"/>
    <mergeCell ref="E42:F42"/>
    <mergeCell ref="E43:F43"/>
    <mergeCell ref="C41:D41"/>
    <mergeCell ref="C42:D42"/>
    <mergeCell ref="C43:D43"/>
    <mergeCell ref="C44:D44"/>
    <mergeCell ref="C53:D53"/>
    <mergeCell ref="C54:D54"/>
    <mergeCell ref="C55:D55"/>
    <mergeCell ref="E44:F44"/>
    <mergeCell ref="C50:D50"/>
    <mergeCell ref="E54:F54"/>
    <mergeCell ref="C49:D49"/>
    <mergeCell ref="C47:D47"/>
    <mergeCell ref="E95:F95"/>
    <mergeCell ref="G95:H95"/>
    <mergeCell ref="E96:F96"/>
    <mergeCell ref="G96:H96"/>
    <mergeCell ref="C32:D32"/>
    <mergeCell ref="C33:D33"/>
    <mergeCell ref="E32:F32"/>
    <mergeCell ref="E87:F87"/>
    <mergeCell ref="E82:F82"/>
    <mergeCell ref="E83:F83"/>
    <mergeCell ref="E84:F84"/>
    <mergeCell ref="E85:F85"/>
    <mergeCell ref="E79:F79"/>
    <mergeCell ref="E80:F80"/>
    <mergeCell ref="E81:F81"/>
    <mergeCell ref="E62:F62"/>
    <mergeCell ref="E63:F63"/>
    <mergeCell ref="E64:F64"/>
    <mergeCell ref="E65:F65"/>
    <mergeCell ref="C66:D66"/>
    <mergeCell ref="C67:D67"/>
    <mergeCell ref="E70:F70"/>
    <mergeCell ref="C56:D56"/>
    <mergeCell ref="E41:F41"/>
    <mergeCell ref="B93:B94"/>
    <mergeCell ref="E93:F93"/>
    <mergeCell ref="E94:F94"/>
    <mergeCell ref="B83:B92"/>
    <mergeCell ref="E92:F92"/>
    <mergeCell ref="E89:F89"/>
    <mergeCell ref="E90:F90"/>
    <mergeCell ref="E91:F91"/>
    <mergeCell ref="C87:D87"/>
    <mergeCell ref="C93:D93"/>
    <mergeCell ref="C94:D94"/>
    <mergeCell ref="C91:D91"/>
    <mergeCell ref="C92:D92"/>
    <mergeCell ref="E86:F86"/>
    <mergeCell ref="E88:F88"/>
    <mergeCell ref="C84:D84"/>
    <mergeCell ref="C85:D85"/>
    <mergeCell ref="C86:D86"/>
    <mergeCell ref="C89:D89"/>
    <mergeCell ref="C90:D90"/>
    <mergeCell ref="C83:D83"/>
    <mergeCell ref="C73:D73"/>
    <mergeCell ref="C74:D74"/>
    <mergeCell ref="E66:F66"/>
    <mergeCell ref="E67:F67"/>
    <mergeCell ref="C63:D63"/>
    <mergeCell ref="C64:D64"/>
    <mergeCell ref="C65:D65"/>
    <mergeCell ref="C61:D61"/>
    <mergeCell ref="C62:D62"/>
    <mergeCell ref="E68:F68"/>
    <mergeCell ref="E69:F69"/>
    <mergeCell ref="C24:D24"/>
    <mergeCell ref="E24:F24"/>
    <mergeCell ref="C25:D25"/>
    <mergeCell ref="E25:F25"/>
    <mergeCell ref="C26:D26"/>
    <mergeCell ref="E26:F26"/>
    <mergeCell ref="C31:D31"/>
    <mergeCell ref="E31:F31"/>
    <mergeCell ref="C27:D27"/>
    <mergeCell ref="C29:D29"/>
    <mergeCell ref="E30:F30"/>
    <mergeCell ref="C35:D35"/>
    <mergeCell ref="C36:D36"/>
    <mergeCell ref="C39:D39"/>
    <mergeCell ref="C40:D40"/>
    <mergeCell ref="E45:F45"/>
    <mergeCell ref="C48:D48"/>
    <mergeCell ref="C45:D45"/>
    <mergeCell ref="C46:D46"/>
    <mergeCell ref="E29:F29"/>
    <mergeCell ref="A1:B1"/>
    <mergeCell ref="A2:B2"/>
    <mergeCell ref="A3:B3"/>
    <mergeCell ref="A4:B4"/>
    <mergeCell ref="B6:E6"/>
    <mergeCell ref="B13:C13"/>
    <mergeCell ref="C21:D21"/>
    <mergeCell ref="E21:F21"/>
    <mergeCell ref="C22:D22"/>
    <mergeCell ref="E22:F22"/>
    <mergeCell ref="C15:D15"/>
    <mergeCell ref="E15:F15"/>
    <mergeCell ref="B16:D16"/>
    <mergeCell ref="E16:F16"/>
    <mergeCell ref="B17:D17"/>
    <mergeCell ref="E17:F17"/>
    <mergeCell ref="B18:D18"/>
    <mergeCell ref="E18:F18"/>
    <mergeCell ref="B19:D19"/>
    <mergeCell ref="B20:D20"/>
    <mergeCell ref="E19:F19"/>
    <mergeCell ref="E20:F20"/>
    <mergeCell ref="B21:B34"/>
    <mergeCell ref="E28:F28"/>
    <mergeCell ref="B47:B58"/>
    <mergeCell ref="A16:A96"/>
    <mergeCell ref="B95:D96"/>
    <mergeCell ref="C23:D23"/>
    <mergeCell ref="E23:F23"/>
    <mergeCell ref="C28:D28"/>
    <mergeCell ref="E27:F27"/>
    <mergeCell ref="E48:F48"/>
    <mergeCell ref="E33:F33"/>
    <mergeCell ref="E37:F37"/>
    <mergeCell ref="E38:F38"/>
    <mergeCell ref="C30:D30"/>
    <mergeCell ref="C34:D34"/>
    <mergeCell ref="E34:F34"/>
    <mergeCell ref="B35:B46"/>
    <mergeCell ref="E46:F46"/>
    <mergeCell ref="E39:F39"/>
    <mergeCell ref="E35:F35"/>
    <mergeCell ref="E36:F36"/>
    <mergeCell ref="C37:D37"/>
    <mergeCell ref="C38:D38"/>
    <mergeCell ref="C51:D51"/>
    <mergeCell ref="C52:D52"/>
    <mergeCell ref="E40:F40"/>
    <mergeCell ref="C101:D101"/>
    <mergeCell ref="E101:F101"/>
    <mergeCell ref="A102:A195"/>
    <mergeCell ref="B102:D102"/>
    <mergeCell ref="E102:F102"/>
    <mergeCell ref="B103:D103"/>
    <mergeCell ref="E103:F103"/>
    <mergeCell ref="B104:D104"/>
    <mergeCell ref="E104:F104"/>
    <mergeCell ref="B107:B124"/>
    <mergeCell ref="C107:D107"/>
    <mergeCell ref="E107:F107"/>
    <mergeCell ref="C109:D109"/>
    <mergeCell ref="E109:F109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6:D116"/>
    <mergeCell ref="E116:F116"/>
    <mergeCell ref="B125:B138"/>
    <mergeCell ref="C125:D125"/>
    <mergeCell ref="E125:F125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4:D134"/>
    <mergeCell ref="E134:F134"/>
    <mergeCell ref="C135:D135"/>
    <mergeCell ref="E138:F138"/>
    <mergeCell ref="C126:D126"/>
    <mergeCell ref="E126:F126"/>
    <mergeCell ref="B152:B166"/>
    <mergeCell ref="C152:D152"/>
    <mergeCell ref="E152:F152"/>
    <mergeCell ref="C154:D154"/>
    <mergeCell ref="E154:F154"/>
    <mergeCell ref="C157:D157"/>
    <mergeCell ref="E157:F157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E153:F153"/>
    <mergeCell ref="C153:D153"/>
    <mergeCell ref="C156:D156"/>
    <mergeCell ref="E156:F156"/>
    <mergeCell ref="B139:B151"/>
    <mergeCell ref="C164:D164"/>
    <mergeCell ref="B168:B181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3:D173"/>
    <mergeCell ref="E173:F173"/>
    <mergeCell ref="C174:D174"/>
    <mergeCell ref="E174:F174"/>
    <mergeCell ref="C175:D175"/>
    <mergeCell ref="E175:F175"/>
    <mergeCell ref="C177:D177"/>
    <mergeCell ref="C180:D180"/>
    <mergeCell ref="E180:F180"/>
    <mergeCell ref="C181:D181"/>
    <mergeCell ref="E147:F147"/>
    <mergeCell ref="C148:D148"/>
    <mergeCell ref="E148:F148"/>
    <mergeCell ref="E181:F181"/>
    <mergeCell ref="E176:F176"/>
    <mergeCell ref="C176:D176"/>
    <mergeCell ref="C165:D165"/>
    <mergeCell ref="C192:D192"/>
    <mergeCell ref="E192:F192"/>
    <mergeCell ref="C193:D193"/>
    <mergeCell ref="E193:F193"/>
    <mergeCell ref="B194:D195"/>
    <mergeCell ref="E194:F194"/>
    <mergeCell ref="B182:B19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90:F190"/>
    <mergeCell ref="C190:D190"/>
    <mergeCell ref="G194:H194"/>
    <mergeCell ref="E195:F195"/>
    <mergeCell ref="G195:H195"/>
    <mergeCell ref="B105:D105"/>
    <mergeCell ref="B106:D106"/>
    <mergeCell ref="E105:F105"/>
    <mergeCell ref="E106:F106"/>
    <mergeCell ref="E143:F143"/>
    <mergeCell ref="C143:D143"/>
    <mergeCell ref="C150:D150"/>
    <mergeCell ref="E150:F150"/>
    <mergeCell ref="B192:B193"/>
    <mergeCell ref="C155:D155"/>
    <mergeCell ref="C158:D158"/>
    <mergeCell ref="E155:F155"/>
    <mergeCell ref="E158:F158"/>
    <mergeCell ref="E189:F189"/>
    <mergeCell ref="C191:D191"/>
    <mergeCell ref="E191:F191"/>
    <mergeCell ref="E188:F188"/>
    <mergeCell ref="C189:D189"/>
    <mergeCell ref="E177:F177"/>
    <mergeCell ref="AM104:AN104"/>
    <mergeCell ref="AJ105:AL105"/>
    <mergeCell ref="AM105:AN105"/>
    <mergeCell ref="C115:D115"/>
    <mergeCell ref="E115:F115"/>
    <mergeCell ref="E117:F117"/>
    <mergeCell ref="C117:D117"/>
    <mergeCell ref="C141:D141"/>
    <mergeCell ref="E141:F141"/>
    <mergeCell ref="E135:F135"/>
    <mergeCell ref="C136:D136"/>
    <mergeCell ref="E136:F136"/>
    <mergeCell ref="C137:D137"/>
    <mergeCell ref="E137:F137"/>
    <mergeCell ref="C138:D138"/>
    <mergeCell ref="C139:D139"/>
    <mergeCell ref="E139:F139"/>
    <mergeCell ref="C140:D140"/>
    <mergeCell ref="E140:F140"/>
    <mergeCell ref="E133:F133"/>
    <mergeCell ref="C133:D133"/>
    <mergeCell ref="C119:D119"/>
    <mergeCell ref="E119:F119"/>
    <mergeCell ref="C120:D120"/>
    <mergeCell ref="C172:D172"/>
    <mergeCell ref="E172:F172"/>
    <mergeCell ref="E167:F167"/>
    <mergeCell ref="C167:D167"/>
    <mergeCell ref="E118:F118"/>
    <mergeCell ref="C118:D118"/>
    <mergeCell ref="C178:D178"/>
    <mergeCell ref="E178:F178"/>
    <mergeCell ref="AJ104:AL104"/>
    <mergeCell ref="C166:D166"/>
    <mergeCell ref="E166:F166"/>
    <mergeCell ref="E164:F164"/>
    <mergeCell ref="C145:D145"/>
    <mergeCell ref="E165:F165"/>
    <mergeCell ref="C151:D151"/>
    <mergeCell ref="E151:F151"/>
    <mergeCell ref="E120:F120"/>
    <mergeCell ref="C123:D123"/>
    <mergeCell ref="E123:F123"/>
    <mergeCell ref="C121:D121"/>
    <mergeCell ref="E121:F121"/>
    <mergeCell ref="C124:D124"/>
    <mergeCell ref="E124:F124"/>
    <mergeCell ref="C149:D149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68C1-E8AE-4FDB-AED6-F04656999C36}">
  <dimension ref="A1:AD133"/>
  <sheetViews>
    <sheetView topLeftCell="A62" zoomScale="70" zoomScaleNormal="70" workbookViewId="0">
      <selection activeCell="B19" sqref="B19:D19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9" width="6.109375" style="1" customWidth="1"/>
    <col min="10" max="10" width="6" style="1" customWidth="1"/>
    <col min="11" max="14" width="6.109375" style="1" customWidth="1"/>
    <col min="15" max="15" width="6" style="1" customWidth="1"/>
    <col min="16" max="16" width="6.109375" style="1" customWidth="1"/>
    <col min="17" max="21" width="6" style="1" customWidth="1"/>
    <col min="22" max="24" width="6.109375" style="1" customWidth="1"/>
    <col min="25" max="25" width="6" style="1" customWidth="1"/>
    <col min="26" max="26" width="6.109375" style="1" customWidth="1"/>
    <col min="27" max="27" width="6" style="1" customWidth="1"/>
    <col min="28" max="28" width="5.88671875" style="1" customWidth="1"/>
    <col min="29" max="29" width="6.109375" style="1" customWidth="1"/>
    <col min="30" max="31" width="6" style="1" customWidth="1"/>
    <col min="32" max="32" width="5" style="1" bestFit="1" customWidth="1"/>
    <col min="33" max="33" width="5.44140625" style="1" bestFit="1" customWidth="1"/>
    <col min="34" max="34" width="4.5546875" style="1" bestFit="1" customWidth="1"/>
    <col min="35" max="16384" width="9.109375" style="1"/>
  </cols>
  <sheetData>
    <row r="1" spans="1:29" ht="24" customHeight="1" x14ac:dyDescent="0.3">
      <c r="A1" s="78" t="s">
        <v>0</v>
      </c>
      <c r="B1" s="78"/>
      <c r="C1" s="74" t="s">
        <v>52</v>
      </c>
      <c r="D1" s="74"/>
      <c r="E1" s="74"/>
      <c r="F1" s="74"/>
      <c r="G1" s="9"/>
      <c r="H1" s="9"/>
      <c r="I1" s="9"/>
      <c r="N1" s="13"/>
      <c r="O1" s="67" t="s">
        <v>1</v>
      </c>
      <c r="P1" s="67"/>
      <c r="Q1" s="67"/>
    </row>
    <row r="2" spans="1:29" ht="21" customHeight="1" x14ac:dyDescent="0.3">
      <c r="A2" s="78" t="s">
        <v>2</v>
      </c>
      <c r="B2" s="78"/>
      <c r="C2" s="75" t="s">
        <v>30</v>
      </c>
      <c r="D2" s="75"/>
      <c r="E2" s="75"/>
      <c r="F2" s="75"/>
      <c r="M2" s="10"/>
      <c r="N2" s="14"/>
      <c r="O2" s="68" t="s">
        <v>4</v>
      </c>
      <c r="P2" s="68"/>
      <c r="Q2" s="68"/>
    </row>
    <row r="3" spans="1:29" ht="22.8" customHeight="1" x14ac:dyDescent="0.3">
      <c r="A3" s="78" t="s">
        <v>5</v>
      </c>
      <c r="B3" s="78"/>
      <c r="C3" s="76" t="s">
        <v>130</v>
      </c>
      <c r="D3" s="76"/>
      <c r="E3" s="76"/>
      <c r="F3" s="76"/>
      <c r="N3" s="15"/>
      <c r="O3" s="68" t="s">
        <v>6</v>
      </c>
      <c r="P3" s="68"/>
      <c r="Q3" s="68"/>
    </row>
    <row r="4" spans="1:29" ht="21.6" customHeight="1" x14ac:dyDescent="0.3">
      <c r="A4" s="78" t="s">
        <v>7</v>
      </c>
      <c r="B4" s="78"/>
      <c r="C4" s="76">
        <v>45973</v>
      </c>
      <c r="D4" s="76"/>
      <c r="E4" s="76"/>
      <c r="F4" s="76"/>
    </row>
    <row r="5" spans="1:29" ht="16.5" customHeight="1" x14ac:dyDescent="0.3"/>
    <row r="6" spans="1:29" x14ac:dyDescent="0.3">
      <c r="B6" s="65" t="s">
        <v>51</v>
      </c>
      <c r="C6" s="65"/>
      <c r="D6" s="65"/>
      <c r="E6" s="65"/>
    </row>
    <row r="7" spans="1:29" x14ac:dyDescent="0.3">
      <c r="B7" s="11" t="s">
        <v>9</v>
      </c>
      <c r="C7" s="11" t="s">
        <v>10</v>
      </c>
      <c r="D7" s="11" t="s">
        <v>11</v>
      </c>
      <c r="E7" s="11" t="s">
        <v>12</v>
      </c>
    </row>
    <row r="8" spans="1:29" x14ac:dyDescent="0.3">
      <c r="B8" s="8">
        <v>1</v>
      </c>
      <c r="C8" s="5" t="s">
        <v>125</v>
      </c>
      <c r="D8" s="5">
        <f ca="1">SUMIF(E16:F63,"*" &amp; TRIM(RIGHT(SUBSTITUTE($C8," ",REPT(" ",50)),50)) &amp; "*",H16:H63) + SUMIF(E16:F63, "All Team",H16:H63)</f>
        <v>115</v>
      </c>
      <c r="E8" s="5">
        <f ca="1">SUMIF(E16:F63,"*" &amp; TRIM(RIGHT(SUBSTITUTE($C8," ",REPT(" ",50)),50)) &amp; "*",H16:H63) + SUMIF(E16:F63, "All Team",H16:H63)</f>
        <v>115</v>
      </c>
    </row>
    <row r="9" spans="1:29" x14ac:dyDescent="0.3">
      <c r="B9" s="8">
        <v>2</v>
      </c>
      <c r="C9" s="5" t="s">
        <v>126</v>
      </c>
      <c r="D9" s="5">
        <f ca="1">SUMIF(E17:F64,"*" &amp; TRIM(RIGHT(SUBSTITUTE($C9," ",REPT(" ",50)),50)) &amp; "*",H17:H64) + SUMIF(E17:F64, "All Team",H17:H64)</f>
        <v>98</v>
      </c>
      <c r="E9" s="5">
        <f t="shared" ref="E9:E12" ca="1" si="0">SUMIF(E17:F64,"*" &amp; TRIM(RIGHT(SUBSTITUTE($C9," ",REPT(" ",50)),50)) &amp; "*",H17:H64) + SUMIF(E17:F64, "All Team",H17:H64)</f>
        <v>98</v>
      </c>
    </row>
    <row r="10" spans="1:29" x14ac:dyDescent="0.3">
      <c r="B10" s="8">
        <v>3</v>
      </c>
      <c r="C10" s="5" t="s">
        <v>127</v>
      </c>
      <c r="D10" s="5">
        <f t="shared" ref="D10:D12" ca="1" si="1">SUMIF(E18:F65,"*" &amp; TRIM(RIGHT(SUBSTITUTE($C10," ",REPT(" ",50)),50)) &amp; "*",H18:H65) + SUMIF(E18:F65, "All Team",H18:H65)</f>
        <v>81</v>
      </c>
      <c r="E10" s="5">
        <f t="shared" ca="1" si="0"/>
        <v>81</v>
      </c>
    </row>
    <row r="11" spans="1:29" x14ac:dyDescent="0.3">
      <c r="B11" s="8">
        <v>4</v>
      </c>
      <c r="C11" s="5" t="s">
        <v>128</v>
      </c>
      <c r="D11" s="5">
        <f t="shared" ca="1" si="1"/>
        <v>76</v>
      </c>
      <c r="E11" s="5">
        <f t="shared" ca="1" si="0"/>
        <v>76</v>
      </c>
    </row>
    <row r="12" spans="1:29" x14ac:dyDescent="0.3">
      <c r="B12" s="8">
        <v>5</v>
      </c>
      <c r="C12" s="5" t="s">
        <v>129</v>
      </c>
      <c r="D12" s="5">
        <f t="shared" ca="1" si="1"/>
        <v>85</v>
      </c>
      <c r="E12" s="5">
        <f t="shared" ca="1" si="0"/>
        <v>85</v>
      </c>
    </row>
    <row r="13" spans="1:29" x14ac:dyDescent="0.3">
      <c r="B13" s="65" t="s">
        <v>13</v>
      </c>
      <c r="C13" s="65"/>
      <c r="D13" s="2">
        <f ca="1">SUM(D8:D12)</f>
        <v>455</v>
      </c>
      <c r="E13" s="2">
        <f ca="1">SUM(E8:E12)</f>
        <v>455</v>
      </c>
    </row>
    <row r="15" spans="1:29" ht="68.400000000000006" customHeight="1" x14ac:dyDescent="0.3">
      <c r="A15" s="17" t="s">
        <v>14</v>
      </c>
      <c r="B15" s="17" t="s">
        <v>15</v>
      </c>
      <c r="C15" s="59" t="s">
        <v>16</v>
      </c>
      <c r="D15" s="59"/>
      <c r="E15" s="59" t="s">
        <v>17</v>
      </c>
      <c r="F15" s="59"/>
      <c r="G15" s="18" t="s">
        <v>11</v>
      </c>
      <c r="H15" s="18" t="s">
        <v>12</v>
      </c>
      <c r="I15" s="19">
        <v>45982</v>
      </c>
      <c r="J15" s="19">
        <v>45983</v>
      </c>
      <c r="K15" s="19">
        <v>45984</v>
      </c>
      <c r="L15" s="19">
        <v>45985</v>
      </c>
      <c r="M15" s="19">
        <v>45986</v>
      </c>
      <c r="N15" s="19">
        <v>45987</v>
      </c>
      <c r="O15" s="19">
        <v>45988</v>
      </c>
      <c r="P15" s="19">
        <v>45989</v>
      </c>
      <c r="Q15" s="19">
        <v>45990</v>
      </c>
      <c r="R15" s="19">
        <v>45991</v>
      </c>
      <c r="S15" s="19">
        <v>45992</v>
      </c>
      <c r="T15" s="19">
        <v>45993</v>
      </c>
      <c r="U15" s="19">
        <v>45994</v>
      </c>
      <c r="V15" s="19">
        <v>45995</v>
      </c>
      <c r="W15" s="19">
        <v>45996</v>
      </c>
      <c r="X15" s="19">
        <v>45997</v>
      </c>
      <c r="Y15" s="19">
        <v>45998</v>
      </c>
      <c r="Z15" s="19">
        <v>45999</v>
      </c>
      <c r="AA15" s="19">
        <v>46000</v>
      </c>
      <c r="AB15" s="19">
        <v>46001</v>
      </c>
      <c r="AC15" s="19">
        <v>46002</v>
      </c>
    </row>
    <row r="16" spans="1:29" x14ac:dyDescent="0.3">
      <c r="A16" s="63" t="s">
        <v>30</v>
      </c>
      <c r="B16" s="33" t="s">
        <v>18</v>
      </c>
      <c r="C16" s="33"/>
      <c r="D16" s="33"/>
      <c r="E16" s="42" t="s">
        <v>34</v>
      </c>
      <c r="F16" s="42"/>
      <c r="G16" s="5"/>
      <c r="H16" s="5">
        <v>4</v>
      </c>
      <c r="I16" s="3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1:29" x14ac:dyDescent="0.3">
      <c r="A17" s="63"/>
      <c r="B17" s="33" t="s">
        <v>42</v>
      </c>
      <c r="C17" s="33"/>
      <c r="D17" s="33"/>
      <c r="E17" s="42" t="s">
        <v>53</v>
      </c>
      <c r="F17" s="42"/>
      <c r="G17" s="5"/>
      <c r="H17" s="5">
        <v>4</v>
      </c>
      <c r="I17" s="3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x14ac:dyDescent="0.3">
      <c r="A18" s="63"/>
      <c r="B18" s="33" t="s">
        <v>20</v>
      </c>
      <c r="C18" s="33"/>
      <c r="D18" s="33"/>
      <c r="E18" s="42" t="s">
        <v>131</v>
      </c>
      <c r="F18" s="42"/>
      <c r="G18" s="5"/>
      <c r="H18" s="5">
        <v>20</v>
      </c>
      <c r="I18" s="5">
        <v>20</v>
      </c>
      <c r="J18" s="5">
        <v>20</v>
      </c>
      <c r="K18" s="5">
        <v>16</v>
      </c>
      <c r="L18" s="5">
        <v>8</v>
      </c>
      <c r="M18" s="5">
        <v>4</v>
      </c>
      <c r="N18" s="3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x14ac:dyDescent="0.3">
      <c r="A19" s="63"/>
      <c r="B19" s="30" t="s">
        <v>46</v>
      </c>
      <c r="C19" s="62"/>
      <c r="D19" s="31"/>
      <c r="E19" s="28" t="s">
        <v>132</v>
      </c>
      <c r="F19" s="29"/>
      <c r="G19" s="5"/>
      <c r="H19" s="5">
        <v>15</v>
      </c>
      <c r="I19" s="5">
        <v>9</v>
      </c>
      <c r="J19" s="5">
        <v>4</v>
      </c>
      <c r="K19" s="3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 x14ac:dyDescent="0.3">
      <c r="A20" s="63"/>
      <c r="B20" s="63" t="s">
        <v>21</v>
      </c>
      <c r="C20" s="33" t="s">
        <v>133</v>
      </c>
      <c r="D20" s="33"/>
      <c r="E20" s="42" t="s">
        <v>60</v>
      </c>
      <c r="F20" s="42"/>
      <c r="G20" s="5"/>
      <c r="H20" s="5">
        <v>4</v>
      </c>
      <c r="I20" s="5">
        <v>4</v>
      </c>
      <c r="J20" s="5">
        <v>4</v>
      </c>
      <c r="K20" s="3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3">
      <c r="A21" s="63"/>
      <c r="B21" s="63"/>
      <c r="C21" s="33" t="s">
        <v>134</v>
      </c>
      <c r="D21" s="33"/>
      <c r="E21" s="42" t="s">
        <v>53</v>
      </c>
      <c r="F21" s="42"/>
      <c r="G21" s="5"/>
      <c r="H21" s="5">
        <v>3</v>
      </c>
      <c r="I21" s="5">
        <v>3</v>
      </c>
      <c r="J21" s="5">
        <v>3</v>
      </c>
      <c r="K21" s="3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3">
      <c r="A22" s="63"/>
      <c r="B22" s="63"/>
      <c r="C22" s="33" t="s">
        <v>135</v>
      </c>
      <c r="D22" s="33"/>
      <c r="E22" s="42" t="s">
        <v>61</v>
      </c>
      <c r="F22" s="42"/>
      <c r="G22" s="5"/>
      <c r="H22" s="5">
        <v>4</v>
      </c>
      <c r="I22" s="5">
        <v>4</v>
      </c>
      <c r="J22" s="5">
        <v>4</v>
      </c>
      <c r="K22" s="5">
        <v>4</v>
      </c>
      <c r="L22" s="3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3">
      <c r="A23" s="63"/>
      <c r="B23" s="63"/>
      <c r="C23" s="30" t="s">
        <v>136</v>
      </c>
      <c r="D23" s="31"/>
      <c r="E23" s="28" t="s">
        <v>59</v>
      </c>
      <c r="F23" s="29"/>
      <c r="G23" s="5"/>
      <c r="H23" s="5">
        <v>3</v>
      </c>
      <c r="I23" s="5">
        <v>3</v>
      </c>
      <c r="J23" s="5">
        <v>3</v>
      </c>
      <c r="K23" s="5">
        <v>3</v>
      </c>
      <c r="L23" s="3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3">
      <c r="A24" s="63"/>
      <c r="B24" s="63"/>
      <c r="C24" s="33" t="s">
        <v>137</v>
      </c>
      <c r="D24" s="33"/>
      <c r="E24" s="42" t="s">
        <v>62</v>
      </c>
      <c r="F24" s="42"/>
      <c r="G24" s="5"/>
      <c r="H24" s="5">
        <v>6</v>
      </c>
      <c r="I24" s="5">
        <v>6</v>
      </c>
      <c r="J24" s="5">
        <v>6</v>
      </c>
      <c r="K24" s="5">
        <v>6</v>
      </c>
      <c r="L24" s="5">
        <v>4</v>
      </c>
      <c r="M24" s="3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29" x14ac:dyDescent="0.3">
      <c r="A25" s="63"/>
      <c r="B25" s="63"/>
      <c r="C25" s="33" t="s">
        <v>138</v>
      </c>
      <c r="D25" s="33"/>
      <c r="E25" s="42" t="s">
        <v>53</v>
      </c>
      <c r="F25" s="42"/>
      <c r="G25" s="5"/>
      <c r="H25" s="5">
        <v>4</v>
      </c>
      <c r="I25" s="5">
        <v>4</v>
      </c>
      <c r="J25" s="5">
        <v>4</v>
      </c>
      <c r="K25" s="5">
        <v>4</v>
      </c>
      <c r="L25" s="5">
        <v>4</v>
      </c>
      <c r="M25" s="3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3">
      <c r="A26" s="63"/>
      <c r="B26" s="63"/>
      <c r="C26" s="33" t="s">
        <v>44</v>
      </c>
      <c r="D26" s="33"/>
      <c r="E26" s="42" t="s">
        <v>62</v>
      </c>
      <c r="F26" s="42"/>
      <c r="G26" s="5"/>
      <c r="H26" s="5">
        <v>4</v>
      </c>
      <c r="I26" s="5">
        <v>4</v>
      </c>
      <c r="J26" s="5">
        <v>4</v>
      </c>
      <c r="K26" s="5">
        <v>4</v>
      </c>
      <c r="L26" s="5">
        <v>4</v>
      </c>
      <c r="M26" s="5">
        <v>4</v>
      </c>
      <c r="N26" s="3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ht="16.8" customHeight="1" x14ac:dyDescent="0.3">
      <c r="A27" s="63"/>
      <c r="B27" s="63"/>
      <c r="C27" s="30" t="s">
        <v>139</v>
      </c>
      <c r="D27" s="31"/>
      <c r="E27" s="28" t="s">
        <v>61</v>
      </c>
      <c r="F27" s="29"/>
      <c r="G27" s="5"/>
      <c r="H27" s="5">
        <v>3</v>
      </c>
      <c r="I27" s="5">
        <v>3</v>
      </c>
      <c r="J27" s="5">
        <v>3</v>
      </c>
      <c r="K27" s="5">
        <v>3</v>
      </c>
      <c r="L27" s="5">
        <v>3</v>
      </c>
      <c r="M27" s="5">
        <v>3</v>
      </c>
      <c r="N27" s="5">
        <v>3</v>
      </c>
      <c r="O27" s="3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ht="16.8" customHeight="1" x14ac:dyDescent="0.3">
      <c r="A28" s="63"/>
      <c r="B28" s="63"/>
      <c r="C28" s="30" t="s">
        <v>140</v>
      </c>
      <c r="D28" s="31"/>
      <c r="E28" s="28" t="s">
        <v>60</v>
      </c>
      <c r="F28" s="29"/>
      <c r="G28" s="5"/>
      <c r="H28" s="5">
        <v>2</v>
      </c>
      <c r="I28" s="5">
        <v>2</v>
      </c>
      <c r="J28" s="5">
        <v>2</v>
      </c>
      <c r="K28" s="5">
        <v>2</v>
      </c>
      <c r="L28" s="5">
        <v>2</v>
      </c>
      <c r="M28" s="5">
        <v>2</v>
      </c>
      <c r="N28" s="5">
        <v>2</v>
      </c>
      <c r="O28" s="3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ht="16.8" customHeight="1" x14ac:dyDescent="0.3">
      <c r="A29" s="63"/>
      <c r="B29" s="63"/>
      <c r="C29" s="30" t="s">
        <v>141</v>
      </c>
      <c r="D29" s="31"/>
      <c r="E29" s="28" t="s">
        <v>59</v>
      </c>
      <c r="F29" s="29"/>
      <c r="G29" s="5"/>
      <c r="H29" s="5">
        <v>4</v>
      </c>
      <c r="I29" s="5">
        <v>4</v>
      </c>
      <c r="J29" s="5">
        <v>4</v>
      </c>
      <c r="K29" s="5">
        <v>4</v>
      </c>
      <c r="L29" s="5">
        <v>4</v>
      </c>
      <c r="M29" s="5">
        <v>4</v>
      </c>
      <c r="N29" s="5">
        <v>4</v>
      </c>
      <c r="O29" s="5">
        <v>4</v>
      </c>
      <c r="P29" s="3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3">
      <c r="A30" s="63"/>
      <c r="B30" s="63"/>
      <c r="C30" s="30" t="s">
        <v>45</v>
      </c>
      <c r="D30" s="31"/>
      <c r="E30" s="28" t="s">
        <v>34</v>
      </c>
      <c r="F30" s="29"/>
      <c r="G30" s="5"/>
      <c r="H30" s="5">
        <v>8</v>
      </c>
      <c r="I30" s="5">
        <v>8</v>
      </c>
      <c r="J30" s="5">
        <v>8</v>
      </c>
      <c r="K30" s="5">
        <v>8</v>
      </c>
      <c r="L30" s="5">
        <v>8</v>
      </c>
      <c r="M30" s="5">
        <v>8</v>
      </c>
      <c r="N30" s="5">
        <v>6</v>
      </c>
      <c r="O30" s="5">
        <v>6</v>
      </c>
      <c r="P30" s="5">
        <v>4</v>
      </c>
      <c r="Q30" s="3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3">
      <c r="A31" s="63"/>
      <c r="B31" s="63" t="s">
        <v>22</v>
      </c>
      <c r="C31" s="33" t="s">
        <v>142</v>
      </c>
      <c r="D31" s="33"/>
      <c r="E31" s="42" t="s">
        <v>61</v>
      </c>
      <c r="F31" s="42"/>
      <c r="G31" s="5"/>
      <c r="H31" s="5">
        <v>6</v>
      </c>
      <c r="I31" s="5">
        <v>6</v>
      </c>
      <c r="J31" s="5">
        <v>6</v>
      </c>
      <c r="K31" s="5">
        <v>6</v>
      </c>
      <c r="L31" s="5">
        <v>6</v>
      </c>
      <c r="M31" s="5">
        <v>6</v>
      </c>
      <c r="N31" s="5">
        <v>6</v>
      </c>
      <c r="O31" s="5">
        <v>6</v>
      </c>
      <c r="P31" s="5">
        <v>6</v>
      </c>
      <c r="Q31" s="5">
        <v>6</v>
      </c>
      <c r="R31" s="5">
        <v>3</v>
      </c>
      <c r="S31" s="3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3">
      <c r="A32" s="63"/>
      <c r="B32" s="63"/>
      <c r="C32" s="33" t="s">
        <v>143</v>
      </c>
      <c r="D32" s="33"/>
      <c r="E32" s="42" t="s">
        <v>59</v>
      </c>
      <c r="F32" s="42"/>
      <c r="G32" s="5"/>
      <c r="H32" s="5">
        <v>3</v>
      </c>
      <c r="I32" s="5">
        <v>3</v>
      </c>
      <c r="J32" s="5">
        <v>3</v>
      </c>
      <c r="K32" s="5">
        <v>3</v>
      </c>
      <c r="L32" s="5">
        <v>3</v>
      </c>
      <c r="M32" s="5">
        <v>3</v>
      </c>
      <c r="N32" s="5">
        <v>3</v>
      </c>
      <c r="O32" s="5">
        <v>3</v>
      </c>
      <c r="P32" s="5">
        <v>3</v>
      </c>
      <c r="Q32" s="5">
        <v>3</v>
      </c>
      <c r="R32" s="3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3">
      <c r="A33" s="63"/>
      <c r="B33" s="63"/>
      <c r="C33" s="33" t="s">
        <v>144</v>
      </c>
      <c r="D33" s="33"/>
      <c r="E33" s="42" t="s">
        <v>59</v>
      </c>
      <c r="F33" s="42"/>
      <c r="G33" s="5"/>
      <c r="H33" s="5">
        <v>3</v>
      </c>
      <c r="I33" s="5">
        <v>3</v>
      </c>
      <c r="J33" s="5">
        <v>3</v>
      </c>
      <c r="K33" s="5">
        <v>3</v>
      </c>
      <c r="L33" s="5">
        <v>3</v>
      </c>
      <c r="M33" s="5">
        <v>3</v>
      </c>
      <c r="N33" s="5">
        <v>3</v>
      </c>
      <c r="O33" s="5">
        <v>3</v>
      </c>
      <c r="P33" s="5">
        <v>3</v>
      </c>
      <c r="Q33" s="5">
        <v>3</v>
      </c>
      <c r="R33" s="3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3">
      <c r="A34" s="63"/>
      <c r="B34" s="63"/>
      <c r="C34" s="33" t="s">
        <v>145</v>
      </c>
      <c r="D34" s="33"/>
      <c r="E34" s="42" t="s">
        <v>53</v>
      </c>
      <c r="F34" s="42"/>
      <c r="G34" s="5"/>
      <c r="H34" s="5">
        <v>3</v>
      </c>
      <c r="I34" s="5">
        <v>3</v>
      </c>
      <c r="J34" s="5">
        <v>3</v>
      </c>
      <c r="K34" s="5">
        <v>3</v>
      </c>
      <c r="L34" s="5">
        <v>3</v>
      </c>
      <c r="M34" s="5">
        <v>3</v>
      </c>
      <c r="N34" s="5">
        <v>3</v>
      </c>
      <c r="O34" s="5">
        <v>3</v>
      </c>
      <c r="P34" s="5">
        <v>3</v>
      </c>
      <c r="Q34" s="5">
        <v>3</v>
      </c>
      <c r="R34" s="3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3">
      <c r="A35" s="63"/>
      <c r="B35" s="63"/>
      <c r="C35" s="33" t="s">
        <v>146</v>
      </c>
      <c r="D35" s="33"/>
      <c r="E35" s="42" t="s">
        <v>60</v>
      </c>
      <c r="F35" s="42"/>
      <c r="G35" s="5"/>
      <c r="H35" s="5">
        <v>2</v>
      </c>
      <c r="I35" s="5">
        <v>2</v>
      </c>
      <c r="J35" s="5">
        <v>2</v>
      </c>
      <c r="K35" s="5">
        <v>2</v>
      </c>
      <c r="L35" s="5">
        <v>2</v>
      </c>
      <c r="M35" s="5">
        <v>2</v>
      </c>
      <c r="N35" s="5">
        <v>2</v>
      </c>
      <c r="O35" s="5">
        <v>2</v>
      </c>
      <c r="P35" s="5">
        <v>2</v>
      </c>
      <c r="Q35" s="5">
        <v>2</v>
      </c>
      <c r="R35" s="3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3">
      <c r="A36" s="63"/>
      <c r="B36" s="63"/>
      <c r="C36" s="34" t="s">
        <v>147</v>
      </c>
      <c r="D36" s="35"/>
      <c r="E36" s="42" t="s">
        <v>62</v>
      </c>
      <c r="F36" s="42"/>
      <c r="G36" s="5"/>
      <c r="H36" s="5">
        <v>3</v>
      </c>
      <c r="I36" s="5">
        <v>3</v>
      </c>
      <c r="J36" s="5">
        <v>3</v>
      </c>
      <c r="K36" s="5">
        <v>3</v>
      </c>
      <c r="L36" s="5">
        <v>3</v>
      </c>
      <c r="M36" s="5">
        <v>3</v>
      </c>
      <c r="N36" s="5">
        <v>3</v>
      </c>
      <c r="O36" s="5">
        <v>3</v>
      </c>
      <c r="P36" s="5">
        <v>3</v>
      </c>
      <c r="Q36" s="5">
        <v>3</v>
      </c>
      <c r="R36" s="5">
        <v>3</v>
      </c>
      <c r="S36" s="3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x14ac:dyDescent="0.3">
      <c r="A37" s="63"/>
      <c r="B37" s="43" t="s">
        <v>23</v>
      </c>
      <c r="C37" s="33" t="s">
        <v>148</v>
      </c>
      <c r="D37" s="33"/>
      <c r="E37" s="42" t="s">
        <v>53</v>
      </c>
      <c r="F37" s="42"/>
      <c r="G37" s="5"/>
      <c r="H37" s="5">
        <v>10</v>
      </c>
      <c r="I37" s="5">
        <v>10</v>
      </c>
      <c r="J37" s="5">
        <v>10</v>
      </c>
      <c r="K37" s="5">
        <v>10</v>
      </c>
      <c r="L37" s="5">
        <v>10</v>
      </c>
      <c r="M37" s="5">
        <v>10</v>
      </c>
      <c r="N37" s="5">
        <v>10</v>
      </c>
      <c r="O37" s="5">
        <v>10</v>
      </c>
      <c r="P37" s="5">
        <v>8</v>
      </c>
      <c r="Q37" s="5">
        <v>8</v>
      </c>
      <c r="R37" s="5">
        <v>4</v>
      </c>
      <c r="S37" s="5">
        <v>4</v>
      </c>
      <c r="T37" s="3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x14ac:dyDescent="0.3">
      <c r="A38" s="63"/>
      <c r="B38" s="53"/>
      <c r="C38" s="33" t="s">
        <v>149</v>
      </c>
      <c r="D38" s="33"/>
      <c r="E38" s="42" t="s">
        <v>62</v>
      </c>
      <c r="F38" s="42"/>
      <c r="G38" s="5"/>
      <c r="H38" s="5">
        <v>10</v>
      </c>
      <c r="I38" s="5">
        <v>10</v>
      </c>
      <c r="J38" s="5">
        <v>10</v>
      </c>
      <c r="K38" s="5">
        <v>10</v>
      </c>
      <c r="L38" s="5">
        <v>10</v>
      </c>
      <c r="M38" s="5">
        <v>10</v>
      </c>
      <c r="N38" s="5">
        <v>10</v>
      </c>
      <c r="O38" s="5">
        <v>10</v>
      </c>
      <c r="P38" s="5">
        <v>10</v>
      </c>
      <c r="Q38" s="5">
        <v>10</v>
      </c>
      <c r="R38" s="5">
        <v>8</v>
      </c>
      <c r="S38" s="5">
        <v>4</v>
      </c>
      <c r="T38" s="3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spans="1:29" x14ac:dyDescent="0.3">
      <c r="A39" s="63"/>
      <c r="B39" s="53"/>
      <c r="C39" s="33" t="s">
        <v>150</v>
      </c>
      <c r="D39" s="33"/>
      <c r="E39" s="28" t="s">
        <v>59</v>
      </c>
      <c r="F39" s="29"/>
      <c r="G39" s="5"/>
      <c r="H39" s="5">
        <v>8</v>
      </c>
      <c r="I39" s="5">
        <v>8</v>
      </c>
      <c r="J39" s="5">
        <v>8</v>
      </c>
      <c r="K39" s="5">
        <v>8</v>
      </c>
      <c r="L39" s="5">
        <v>8</v>
      </c>
      <c r="M39" s="5">
        <v>8</v>
      </c>
      <c r="N39" s="5">
        <v>8</v>
      </c>
      <c r="O39" s="5">
        <v>8</v>
      </c>
      <c r="P39" s="5">
        <v>8</v>
      </c>
      <c r="Q39" s="5">
        <v>8</v>
      </c>
      <c r="R39" s="5">
        <v>6</v>
      </c>
      <c r="S39" s="5">
        <v>4</v>
      </c>
      <c r="T39" s="5">
        <v>2</v>
      </c>
      <c r="U39" s="3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3">
      <c r="A40" s="63"/>
      <c r="B40" s="53"/>
      <c r="C40" s="33" t="s">
        <v>151</v>
      </c>
      <c r="D40" s="33"/>
      <c r="E40" s="28" t="s">
        <v>60</v>
      </c>
      <c r="F40" s="29"/>
      <c r="G40" s="5"/>
      <c r="H40" s="5">
        <v>8</v>
      </c>
      <c r="I40" s="5">
        <v>8</v>
      </c>
      <c r="J40" s="5">
        <v>8</v>
      </c>
      <c r="K40" s="5">
        <v>8</v>
      </c>
      <c r="L40" s="5">
        <v>8</v>
      </c>
      <c r="M40" s="5">
        <v>8</v>
      </c>
      <c r="N40" s="5">
        <v>8</v>
      </c>
      <c r="O40" s="5">
        <v>8</v>
      </c>
      <c r="P40" s="5">
        <v>8</v>
      </c>
      <c r="Q40" s="5">
        <v>8</v>
      </c>
      <c r="R40" s="5">
        <v>6</v>
      </c>
      <c r="S40" s="5">
        <v>4</v>
      </c>
      <c r="T40" s="5">
        <v>2</v>
      </c>
      <c r="U40" s="3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3">
      <c r="A41" s="63"/>
      <c r="B41" s="53"/>
      <c r="C41" s="33" t="s">
        <v>152</v>
      </c>
      <c r="D41" s="33"/>
      <c r="E41" s="28" t="s">
        <v>61</v>
      </c>
      <c r="F41" s="29"/>
      <c r="G41" s="5"/>
      <c r="H41" s="5">
        <v>12</v>
      </c>
      <c r="I41" s="5">
        <v>12</v>
      </c>
      <c r="J41" s="5">
        <v>12</v>
      </c>
      <c r="K41" s="5">
        <v>12</v>
      </c>
      <c r="L41" s="5">
        <v>12</v>
      </c>
      <c r="M41" s="5">
        <v>12</v>
      </c>
      <c r="N41" s="5">
        <v>12</v>
      </c>
      <c r="O41" s="5">
        <v>12</v>
      </c>
      <c r="P41" s="5">
        <v>12</v>
      </c>
      <c r="Q41" s="5">
        <v>12</v>
      </c>
      <c r="R41" s="5">
        <v>12</v>
      </c>
      <c r="S41" s="5">
        <v>12</v>
      </c>
      <c r="T41" s="5">
        <v>12</v>
      </c>
      <c r="U41" s="5">
        <v>8</v>
      </c>
      <c r="V41" s="5">
        <v>4</v>
      </c>
      <c r="W41" s="3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x14ac:dyDescent="0.3">
      <c r="A42" s="63"/>
      <c r="B42" s="53"/>
      <c r="C42" s="33" t="s">
        <v>153</v>
      </c>
      <c r="D42" s="33"/>
      <c r="E42" s="42" t="s">
        <v>53</v>
      </c>
      <c r="F42" s="42"/>
      <c r="G42" s="5"/>
      <c r="H42" s="5">
        <v>12</v>
      </c>
      <c r="I42" s="5">
        <v>12</v>
      </c>
      <c r="J42" s="5">
        <v>12</v>
      </c>
      <c r="K42" s="5">
        <v>12</v>
      </c>
      <c r="L42" s="5">
        <v>12</v>
      </c>
      <c r="M42" s="5">
        <v>12</v>
      </c>
      <c r="N42" s="5">
        <v>12</v>
      </c>
      <c r="O42" s="5">
        <v>12</v>
      </c>
      <c r="P42" s="5">
        <v>12</v>
      </c>
      <c r="Q42" s="5">
        <v>12</v>
      </c>
      <c r="R42" s="5">
        <v>12</v>
      </c>
      <c r="S42" s="5">
        <v>12</v>
      </c>
      <c r="T42" s="5">
        <v>12</v>
      </c>
      <c r="U42" s="5">
        <v>8</v>
      </c>
      <c r="V42" s="5">
        <v>4</v>
      </c>
      <c r="W42" s="3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3">
      <c r="A43" s="63"/>
      <c r="B43" s="44"/>
      <c r="C43" s="33" t="s">
        <v>32</v>
      </c>
      <c r="D43" s="33"/>
      <c r="E43" s="42" t="s">
        <v>34</v>
      </c>
      <c r="F43" s="42"/>
      <c r="G43" s="5"/>
      <c r="H43" s="5">
        <v>20</v>
      </c>
      <c r="I43" s="5">
        <v>20</v>
      </c>
      <c r="J43" s="5">
        <v>20</v>
      </c>
      <c r="K43" s="5">
        <v>20</v>
      </c>
      <c r="L43" s="5">
        <v>20</v>
      </c>
      <c r="M43" s="5">
        <v>20</v>
      </c>
      <c r="N43" s="5">
        <v>20</v>
      </c>
      <c r="O43" s="5">
        <v>20</v>
      </c>
      <c r="P43" s="5">
        <v>20</v>
      </c>
      <c r="Q43" s="5">
        <v>20</v>
      </c>
      <c r="R43" s="5">
        <v>20</v>
      </c>
      <c r="S43" s="5">
        <v>20</v>
      </c>
      <c r="T43" s="5">
        <v>16</v>
      </c>
      <c r="U43" s="5">
        <v>12</v>
      </c>
      <c r="V43" s="5">
        <v>8</v>
      </c>
      <c r="W43" s="5">
        <v>4</v>
      </c>
      <c r="X43" s="3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3">
      <c r="A44" s="63"/>
      <c r="B44" s="43" t="s">
        <v>24</v>
      </c>
      <c r="C44" s="33" t="s">
        <v>154</v>
      </c>
      <c r="D44" s="33"/>
      <c r="E44" s="42" t="s">
        <v>61</v>
      </c>
      <c r="F44" s="42"/>
      <c r="G44" s="5"/>
      <c r="H44" s="5">
        <v>4</v>
      </c>
      <c r="I44" s="5">
        <v>4</v>
      </c>
      <c r="J44" s="5">
        <v>4</v>
      </c>
      <c r="K44" s="5">
        <v>4</v>
      </c>
      <c r="L44" s="5">
        <v>4</v>
      </c>
      <c r="M44" s="5">
        <v>4</v>
      </c>
      <c r="N44" s="5">
        <v>4</v>
      </c>
      <c r="O44" s="5">
        <v>4</v>
      </c>
      <c r="P44" s="5">
        <v>4</v>
      </c>
      <c r="Q44" s="5">
        <v>4</v>
      </c>
      <c r="R44" s="5">
        <v>4</v>
      </c>
      <c r="S44" s="5">
        <v>4</v>
      </c>
      <c r="T44" s="5">
        <v>4</v>
      </c>
      <c r="U44" s="5">
        <v>4</v>
      </c>
      <c r="V44" s="5">
        <v>4</v>
      </c>
      <c r="W44" s="5">
        <v>4</v>
      </c>
      <c r="X44" s="5">
        <v>4</v>
      </c>
      <c r="Y44" s="5">
        <v>1</v>
      </c>
      <c r="Z44" s="3">
        <v>0</v>
      </c>
      <c r="AA44" s="5">
        <v>0</v>
      </c>
      <c r="AB44" s="5">
        <v>0</v>
      </c>
      <c r="AC44" s="5">
        <v>0</v>
      </c>
    </row>
    <row r="45" spans="1:29" x14ac:dyDescent="0.3">
      <c r="A45" s="63"/>
      <c r="B45" s="53"/>
      <c r="C45" s="33" t="s">
        <v>155</v>
      </c>
      <c r="D45" s="33"/>
      <c r="E45" s="42" t="s">
        <v>59</v>
      </c>
      <c r="F45" s="42"/>
      <c r="G45" s="5"/>
      <c r="H45" s="5">
        <v>2</v>
      </c>
      <c r="I45" s="5">
        <v>2</v>
      </c>
      <c r="J45" s="5">
        <v>2</v>
      </c>
      <c r="K45" s="5">
        <v>2</v>
      </c>
      <c r="L45" s="5">
        <v>2</v>
      </c>
      <c r="M45" s="5">
        <v>2</v>
      </c>
      <c r="N45" s="5">
        <v>2</v>
      </c>
      <c r="O45" s="5">
        <v>2</v>
      </c>
      <c r="P45" s="5">
        <v>2</v>
      </c>
      <c r="Q45" s="5">
        <v>2</v>
      </c>
      <c r="R45" s="5">
        <v>2</v>
      </c>
      <c r="S45" s="5">
        <v>2</v>
      </c>
      <c r="T45" s="5">
        <v>2</v>
      </c>
      <c r="U45" s="5">
        <v>2</v>
      </c>
      <c r="V45" s="5">
        <v>2</v>
      </c>
      <c r="W45" s="5">
        <v>2</v>
      </c>
      <c r="X45" s="5">
        <v>2</v>
      </c>
      <c r="Y45" s="5">
        <v>2</v>
      </c>
      <c r="Z45" s="3">
        <v>0</v>
      </c>
      <c r="AA45" s="5">
        <v>0</v>
      </c>
      <c r="AB45" s="5">
        <v>0</v>
      </c>
      <c r="AC45" s="5">
        <v>0</v>
      </c>
    </row>
    <row r="46" spans="1:29" x14ac:dyDescent="0.3">
      <c r="A46" s="63"/>
      <c r="B46" s="53"/>
      <c r="C46" s="33" t="s">
        <v>156</v>
      </c>
      <c r="D46" s="33"/>
      <c r="E46" s="42" t="s">
        <v>59</v>
      </c>
      <c r="F46" s="42"/>
      <c r="G46" s="5"/>
      <c r="H46" s="5">
        <v>2</v>
      </c>
      <c r="I46" s="5">
        <v>2</v>
      </c>
      <c r="J46" s="5">
        <v>2</v>
      </c>
      <c r="K46" s="5">
        <v>2</v>
      </c>
      <c r="L46" s="5">
        <v>2</v>
      </c>
      <c r="M46" s="5">
        <v>2</v>
      </c>
      <c r="N46" s="5">
        <v>2</v>
      </c>
      <c r="O46" s="5">
        <v>2</v>
      </c>
      <c r="P46" s="5">
        <v>2</v>
      </c>
      <c r="Q46" s="5">
        <v>2</v>
      </c>
      <c r="R46" s="5">
        <v>2</v>
      </c>
      <c r="S46" s="5">
        <v>2</v>
      </c>
      <c r="T46" s="5">
        <v>2</v>
      </c>
      <c r="U46" s="5">
        <v>2</v>
      </c>
      <c r="V46" s="5">
        <v>2</v>
      </c>
      <c r="W46" s="5">
        <v>2</v>
      </c>
      <c r="X46" s="5">
        <v>2</v>
      </c>
      <c r="Y46" s="5">
        <v>2</v>
      </c>
      <c r="Z46" s="3">
        <v>0</v>
      </c>
      <c r="AA46" s="5">
        <v>0</v>
      </c>
      <c r="AB46" s="5">
        <v>0</v>
      </c>
      <c r="AC46" s="5">
        <v>0</v>
      </c>
    </row>
    <row r="47" spans="1:29" x14ac:dyDescent="0.3">
      <c r="A47" s="63"/>
      <c r="B47" s="53"/>
      <c r="C47" s="33" t="s">
        <v>157</v>
      </c>
      <c r="D47" s="33"/>
      <c r="E47" s="42" t="s">
        <v>53</v>
      </c>
      <c r="F47" s="42"/>
      <c r="G47" s="5"/>
      <c r="H47" s="5">
        <v>4</v>
      </c>
      <c r="I47" s="5">
        <v>4</v>
      </c>
      <c r="J47" s="5">
        <v>4</v>
      </c>
      <c r="K47" s="5">
        <v>4</v>
      </c>
      <c r="L47" s="5">
        <v>4</v>
      </c>
      <c r="M47" s="5">
        <v>4</v>
      </c>
      <c r="N47" s="5">
        <v>4</v>
      </c>
      <c r="O47" s="5">
        <v>4</v>
      </c>
      <c r="P47" s="5">
        <v>4</v>
      </c>
      <c r="Q47" s="5">
        <v>4</v>
      </c>
      <c r="R47" s="5">
        <v>4</v>
      </c>
      <c r="S47" s="5">
        <v>4</v>
      </c>
      <c r="T47" s="5">
        <v>4</v>
      </c>
      <c r="U47" s="5">
        <v>4</v>
      </c>
      <c r="V47" s="5">
        <v>4</v>
      </c>
      <c r="W47" s="5">
        <v>3</v>
      </c>
      <c r="X47" s="5">
        <v>2</v>
      </c>
      <c r="Y47" s="5">
        <v>2</v>
      </c>
      <c r="Z47" s="3">
        <v>0</v>
      </c>
      <c r="AA47" s="5">
        <v>0</v>
      </c>
      <c r="AB47" s="5">
        <v>0</v>
      </c>
      <c r="AC47" s="5">
        <v>0</v>
      </c>
    </row>
    <row r="48" spans="1:29" x14ac:dyDescent="0.3">
      <c r="A48" s="63"/>
      <c r="B48" s="53"/>
      <c r="C48" s="33" t="s">
        <v>158</v>
      </c>
      <c r="D48" s="33"/>
      <c r="E48" s="42" t="s">
        <v>60</v>
      </c>
      <c r="F48" s="42"/>
      <c r="G48" s="5"/>
      <c r="H48" s="5">
        <v>4</v>
      </c>
      <c r="I48" s="5">
        <v>4</v>
      </c>
      <c r="J48" s="5">
        <v>4</v>
      </c>
      <c r="K48" s="5">
        <v>4</v>
      </c>
      <c r="L48" s="5">
        <v>4</v>
      </c>
      <c r="M48" s="5">
        <v>4</v>
      </c>
      <c r="N48" s="5">
        <v>4</v>
      </c>
      <c r="O48" s="5">
        <v>4</v>
      </c>
      <c r="P48" s="5">
        <v>4</v>
      </c>
      <c r="Q48" s="5">
        <v>4</v>
      </c>
      <c r="R48" s="5">
        <v>4</v>
      </c>
      <c r="S48" s="5">
        <v>4</v>
      </c>
      <c r="T48" s="5">
        <v>4</v>
      </c>
      <c r="U48" s="5">
        <v>4</v>
      </c>
      <c r="V48" s="5">
        <v>4</v>
      </c>
      <c r="W48" s="5">
        <v>3</v>
      </c>
      <c r="X48" s="5">
        <v>2</v>
      </c>
      <c r="Y48" s="5">
        <v>2</v>
      </c>
      <c r="Z48" s="3">
        <v>0</v>
      </c>
      <c r="AA48" s="5">
        <v>0</v>
      </c>
      <c r="AB48" s="5">
        <v>0</v>
      </c>
      <c r="AC48" s="5">
        <v>0</v>
      </c>
    </row>
    <row r="49" spans="1:29" x14ac:dyDescent="0.3">
      <c r="A49" s="63"/>
      <c r="B49" s="53"/>
      <c r="C49" s="34" t="s">
        <v>159</v>
      </c>
      <c r="D49" s="35"/>
      <c r="E49" s="42" t="s">
        <v>62</v>
      </c>
      <c r="F49" s="42"/>
      <c r="G49" s="5"/>
      <c r="H49" s="5">
        <v>4</v>
      </c>
      <c r="I49" s="5">
        <v>4</v>
      </c>
      <c r="J49" s="5">
        <v>4</v>
      </c>
      <c r="K49" s="5">
        <v>4</v>
      </c>
      <c r="L49" s="5">
        <v>4</v>
      </c>
      <c r="M49" s="5">
        <v>4</v>
      </c>
      <c r="N49" s="5">
        <v>4</v>
      </c>
      <c r="O49" s="5">
        <v>4</v>
      </c>
      <c r="P49" s="5">
        <v>4</v>
      </c>
      <c r="Q49" s="5">
        <v>4</v>
      </c>
      <c r="R49" s="5">
        <v>4</v>
      </c>
      <c r="S49" s="5">
        <v>4</v>
      </c>
      <c r="T49" s="5">
        <v>4</v>
      </c>
      <c r="U49" s="5">
        <v>4</v>
      </c>
      <c r="V49" s="5">
        <v>4</v>
      </c>
      <c r="W49" s="5">
        <v>3</v>
      </c>
      <c r="X49" s="5">
        <v>2</v>
      </c>
      <c r="Y49" s="5">
        <v>2</v>
      </c>
      <c r="Z49" s="3">
        <v>0</v>
      </c>
      <c r="AA49" s="5">
        <v>0</v>
      </c>
      <c r="AB49" s="5">
        <v>0</v>
      </c>
      <c r="AC49" s="5">
        <v>0</v>
      </c>
    </row>
    <row r="50" spans="1:29" x14ac:dyDescent="0.3">
      <c r="A50" s="63"/>
      <c r="B50" s="43" t="s">
        <v>25</v>
      </c>
      <c r="C50" s="33" t="s">
        <v>160</v>
      </c>
      <c r="D50" s="33"/>
      <c r="E50" s="42" t="s">
        <v>53</v>
      </c>
      <c r="F50" s="42"/>
      <c r="G50" s="5"/>
      <c r="H50" s="5">
        <v>2</v>
      </c>
      <c r="I50" s="5">
        <v>2</v>
      </c>
      <c r="J50" s="5">
        <v>2</v>
      </c>
      <c r="K50" s="5">
        <v>2</v>
      </c>
      <c r="L50" s="5">
        <v>2</v>
      </c>
      <c r="M50" s="5">
        <v>2</v>
      </c>
      <c r="N50" s="5">
        <v>2</v>
      </c>
      <c r="O50" s="5">
        <v>2</v>
      </c>
      <c r="P50" s="5">
        <v>2</v>
      </c>
      <c r="Q50" s="5">
        <v>2</v>
      </c>
      <c r="R50" s="5">
        <v>2</v>
      </c>
      <c r="S50" s="5">
        <v>2</v>
      </c>
      <c r="T50" s="5">
        <v>2</v>
      </c>
      <c r="U50" s="5">
        <v>2</v>
      </c>
      <c r="V50" s="5">
        <v>2</v>
      </c>
      <c r="W50" s="5">
        <v>2</v>
      </c>
      <c r="X50" s="5">
        <v>2</v>
      </c>
      <c r="Y50" s="5">
        <v>2</v>
      </c>
      <c r="Z50" s="5">
        <v>2</v>
      </c>
      <c r="AA50" s="3">
        <v>0</v>
      </c>
      <c r="AB50" s="5">
        <v>0</v>
      </c>
      <c r="AC50" s="5">
        <v>0</v>
      </c>
    </row>
    <row r="51" spans="1:29" x14ac:dyDescent="0.3">
      <c r="A51" s="63"/>
      <c r="B51" s="53"/>
      <c r="C51" s="33" t="s">
        <v>161</v>
      </c>
      <c r="D51" s="33"/>
      <c r="E51" s="42" t="s">
        <v>60</v>
      </c>
      <c r="F51" s="42"/>
      <c r="G51" s="5"/>
      <c r="H51" s="5">
        <v>4</v>
      </c>
      <c r="I51" s="5">
        <v>4</v>
      </c>
      <c r="J51" s="5">
        <v>4</v>
      </c>
      <c r="K51" s="5">
        <v>4</v>
      </c>
      <c r="L51" s="5">
        <v>4</v>
      </c>
      <c r="M51" s="5">
        <v>4</v>
      </c>
      <c r="N51" s="5">
        <v>4</v>
      </c>
      <c r="O51" s="5">
        <v>4</v>
      </c>
      <c r="P51" s="5">
        <v>4</v>
      </c>
      <c r="Q51" s="5">
        <v>4</v>
      </c>
      <c r="R51" s="5">
        <v>4</v>
      </c>
      <c r="S51" s="5">
        <v>4</v>
      </c>
      <c r="T51" s="5">
        <v>4</v>
      </c>
      <c r="U51" s="5">
        <v>4</v>
      </c>
      <c r="V51" s="5">
        <v>4</v>
      </c>
      <c r="W51" s="5">
        <v>4</v>
      </c>
      <c r="X51" s="5">
        <v>3</v>
      </c>
      <c r="Y51" s="5">
        <v>2</v>
      </c>
      <c r="Z51" s="5">
        <v>2</v>
      </c>
      <c r="AA51" s="3">
        <v>0</v>
      </c>
      <c r="AB51" s="5">
        <v>0</v>
      </c>
      <c r="AC51" s="5">
        <v>0</v>
      </c>
    </row>
    <row r="52" spans="1:29" x14ac:dyDescent="0.3">
      <c r="A52" s="63"/>
      <c r="B52" s="53"/>
      <c r="C52" s="33" t="s">
        <v>162</v>
      </c>
      <c r="D52" s="33"/>
      <c r="E52" s="42" t="s">
        <v>53</v>
      </c>
      <c r="F52" s="42"/>
      <c r="G52" s="5"/>
      <c r="H52" s="5">
        <v>2</v>
      </c>
      <c r="I52" s="5">
        <v>2</v>
      </c>
      <c r="J52" s="5">
        <v>2</v>
      </c>
      <c r="K52" s="5">
        <v>2</v>
      </c>
      <c r="L52" s="5">
        <v>2</v>
      </c>
      <c r="M52" s="5">
        <v>2</v>
      </c>
      <c r="N52" s="5">
        <v>2</v>
      </c>
      <c r="O52" s="5">
        <v>2</v>
      </c>
      <c r="P52" s="5">
        <v>2</v>
      </c>
      <c r="Q52" s="5">
        <v>2</v>
      </c>
      <c r="R52" s="5">
        <v>2</v>
      </c>
      <c r="S52" s="5">
        <v>2</v>
      </c>
      <c r="T52" s="5">
        <v>2</v>
      </c>
      <c r="U52" s="5">
        <v>2</v>
      </c>
      <c r="V52" s="5">
        <v>2</v>
      </c>
      <c r="W52" s="5">
        <v>2</v>
      </c>
      <c r="X52" s="5">
        <v>2</v>
      </c>
      <c r="Y52" s="5">
        <v>2</v>
      </c>
      <c r="Z52" s="5">
        <v>2</v>
      </c>
      <c r="AA52" s="3">
        <v>0</v>
      </c>
      <c r="AB52" s="5">
        <v>0</v>
      </c>
      <c r="AC52" s="5">
        <v>0</v>
      </c>
    </row>
    <row r="53" spans="1:29" x14ac:dyDescent="0.3">
      <c r="A53" s="63"/>
      <c r="B53" s="53"/>
      <c r="C53" s="33" t="s">
        <v>163</v>
      </c>
      <c r="D53" s="33"/>
      <c r="E53" s="42" t="s">
        <v>59</v>
      </c>
      <c r="F53" s="42"/>
      <c r="G53" s="5"/>
      <c r="H53" s="5">
        <v>4</v>
      </c>
      <c r="I53" s="5">
        <v>4</v>
      </c>
      <c r="J53" s="5">
        <v>4</v>
      </c>
      <c r="K53" s="5">
        <v>4</v>
      </c>
      <c r="L53" s="5">
        <v>4</v>
      </c>
      <c r="M53" s="5">
        <v>4</v>
      </c>
      <c r="N53" s="5">
        <v>4</v>
      </c>
      <c r="O53" s="5">
        <v>4</v>
      </c>
      <c r="P53" s="5">
        <v>4</v>
      </c>
      <c r="Q53" s="5">
        <v>4</v>
      </c>
      <c r="R53" s="5">
        <v>4</v>
      </c>
      <c r="S53" s="5">
        <v>4</v>
      </c>
      <c r="T53" s="5">
        <v>4</v>
      </c>
      <c r="U53" s="5">
        <v>4</v>
      </c>
      <c r="V53" s="5">
        <v>4</v>
      </c>
      <c r="W53" s="5">
        <v>4</v>
      </c>
      <c r="X53" s="5">
        <v>4</v>
      </c>
      <c r="Y53" s="5">
        <v>4</v>
      </c>
      <c r="Z53" s="5">
        <v>4</v>
      </c>
      <c r="AA53" s="3">
        <v>0</v>
      </c>
      <c r="AB53" s="5">
        <v>0</v>
      </c>
      <c r="AC53" s="5">
        <v>0</v>
      </c>
    </row>
    <row r="54" spans="1:29" x14ac:dyDescent="0.3">
      <c r="A54" s="63"/>
      <c r="B54" s="53"/>
      <c r="C54" s="33" t="s">
        <v>164</v>
      </c>
      <c r="D54" s="33"/>
      <c r="E54" s="42" t="s">
        <v>62</v>
      </c>
      <c r="F54" s="42"/>
      <c r="G54" s="5"/>
      <c r="H54" s="5">
        <v>4</v>
      </c>
      <c r="I54" s="5">
        <v>4</v>
      </c>
      <c r="J54" s="5">
        <v>4</v>
      </c>
      <c r="K54" s="5">
        <v>4</v>
      </c>
      <c r="L54" s="5">
        <v>4</v>
      </c>
      <c r="M54" s="5">
        <v>4</v>
      </c>
      <c r="N54" s="5">
        <v>4</v>
      </c>
      <c r="O54" s="5">
        <v>4</v>
      </c>
      <c r="P54" s="5">
        <v>4</v>
      </c>
      <c r="Q54" s="5">
        <v>4</v>
      </c>
      <c r="R54" s="5">
        <v>4</v>
      </c>
      <c r="S54" s="5">
        <v>4</v>
      </c>
      <c r="T54" s="5">
        <v>4</v>
      </c>
      <c r="U54" s="5">
        <v>4</v>
      </c>
      <c r="V54" s="5">
        <v>4</v>
      </c>
      <c r="W54" s="5">
        <v>4</v>
      </c>
      <c r="X54" s="5">
        <v>4</v>
      </c>
      <c r="Y54" s="5">
        <v>4</v>
      </c>
      <c r="Z54" s="5">
        <v>2</v>
      </c>
      <c r="AA54" s="3">
        <v>0</v>
      </c>
      <c r="AB54" s="5">
        <v>0</v>
      </c>
      <c r="AC54" s="5">
        <v>0</v>
      </c>
    </row>
    <row r="55" spans="1:29" x14ac:dyDescent="0.3">
      <c r="A55" s="63"/>
      <c r="B55" s="53"/>
      <c r="C55" s="34" t="s">
        <v>165</v>
      </c>
      <c r="D55" s="35"/>
      <c r="E55" s="42" t="s">
        <v>61</v>
      </c>
      <c r="F55" s="42"/>
      <c r="G55" s="5"/>
      <c r="H55" s="5">
        <v>4</v>
      </c>
      <c r="I55" s="5">
        <v>4</v>
      </c>
      <c r="J55" s="5">
        <v>4</v>
      </c>
      <c r="K55" s="5">
        <v>4</v>
      </c>
      <c r="L55" s="5">
        <v>4</v>
      </c>
      <c r="M55" s="5">
        <v>4</v>
      </c>
      <c r="N55" s="5">
        <v>4</v>
      </c>
      <c r="O55" s="5">
        <v>4</v>
      </c>
      <c r="P55" s="5">
        <v>4</v>
      </c>
      <c r="Q55" s="5">
        <v>4</v>
      </c>
      <c r="R55" s="5">
        <v>4</v>
      </c>
      <c r="S55" s="5">
        <v>4</v>
      </c>
      <c r="T55" s="5">
        <v>4</v>
      </c>
      <c r="U55" s="5">
        <v>4</v>
      </c>
      <c r="V55" s="5">
        <v>4</v>
      </c>
      <c r="W55" s="5">
        <v>4</v>
      </c>
      <c r="X55" s="5">
        <v>4</v>
      </c>
      <c r="Y55" s="5">
        <v>4</v>
      </c>
      <c r="Z55" s="5">
        <v>2</v>
      </c>
      <c r="AA55" s="3">
        <v>0</v>
      </c>
      <c r="AB55" s="5">
        <v>0</v>
      </c>
      <c r="AC55" s="5">
        <v>0</v>
      </c>
    </row>
    <row r="56" spans="1:29" x14ac:dyDescent="0.3">
      <c r="A56" s="63"/>
      <c r="B56" s="43" t="s">
        <v>26</v>
      </c>
      <c r="C56" s="33" t="s">
        <v>166</v>
      </c>
      <c r="D56" s="33"/>
      <c r="E56" s="42" t="s">
        <v>61</v>
      </c>
      <c r="F56" s="42"/>
      <c r="G56" s="5"/>
      <c r="H56" s="5">
        <v>4</v>
      </c>
      <c r="I56" s="5">
        <v>4</v>
      </c>
      <c r="J56" s="5">
        <v>4</v>
      </c>
      <c r="K56" s="5">
        <v>4</v>
      </c>
      <c r="L56" s="5">
        <v>4</v>
      </c>
      <c r="M56" s="5">
        <v>4</v>
      </c>
      <c r="N56" s="5">
        <v>4</v>
      </c>
      <c r="O56" s="5">
        <v>4</v>
      </c>
      <c r="P56" s="5">
        <v>4</v>
      </c>
      <c r="Q56" s="5">
        <v>4</v>
      </c>
      <c r="R56" s="5">
        <v>4</v>
      </c>
      <c r="S56" s="5">
        <v>4</v>
      </c>
      <c r="T56" s="5">
        <v>4</v>
      </c>
      <c r="U56" s="5">
        <v>4</v>
      </c>
      <c r="V56" s="5">
        <v>4</v>
      </c>
      <c r="W56" s="5">
        <v>4</v>
      </c>
      <c r="X56" s="5">
        <v>4</v>
      </c>
      <c r="Y56" s="5">
        <v>3</v>
      </c>
      <c r="Z56" s="5">
        <v>2</v>
      </c>
      <c r="AA56" s="5">
        <v>1</v>
      </c>
      <c r="AB56" s="3">
        <v>0</v>
      </c>
      <c r="AC56" s="5">
        <v>0</v>
      </c>
    </row>
    <row r="57" spans="1:29" x14ac:dyDescent="0.3">
      <c r="A57" s="63"/>
      <c r="B57" s="53"/>
      <c r="C57" s="33" t="s">
        <v>167</v>
      </c>
      <c r="D57" s="33"/>
      <c r="E57" s="42" t="s">
        <v>59</v>
      </c>
      <c r="F57" s="42"/>
      <c r="G57" s="5"/>
      <c r="H57" s="5">
        <v>2</v>
      </c>
      <c r="I57" s="5">
        <v>2</v>
      </c>
      <c r="J57" s="5">
        <v>2</v>
      </c>
      <c r="K57" s="5">
        <v>2</v>
      </c>
      <c r="L57" s="5">
        <v>2</v>
      </c>
      <c r="M57" s="5">
        <v>2</v>
      </c>
      <c r="N57" s="5">
        <v>2</v>
      </c>
      <c r="O57" s="5">
        <v>2</v>
      </c>
      <c r="P57" s="5">
        <v>2</v>
      </c>
      <c r="Q57" s="5">
        <v>2</v>
      </c>
      <c r="R57" s="5">
        <v>2</v>
      </c>
      <c r="S57" s="5">
        <v>2</v>
      </c>
      <c r="T57" s="5">
        <v>2</v>
      </c>
      <c r="U57" s="5">
        <v>2</v>
      </c>
      <c r="V57" s="5">
        <v>2</v>
      </c>
      <c r="W57" s="5">
        <v>2</v>
      </c>
      <c r="X57" s="5">
        <v>2</v>
      </c>
      <c r="Y57" s="5">
        <v>2</v>
      </c>
      <c r="Z57" s="5">
        <v>2</v>
      </c>
      <c r="AA57" s="5">
        <v>1</v>
      </c>
      <c r="AB57" s="3">
        <v>0</v>
      </c>
      <c r="AC57" s="5">
        <v>0</v>
      </c>
    </row>
    <row r="58" spans="1:29" x14ac:dyDescent="0.3">
      <c r="A58" s="63"/>
      <c r="B58" s="53"/>
      <c r="C58" s="33" t="s">
        <v>168</v>
      </c>
      <c r="D58" s="33"/>
      <c r="E58" s="42" t="s">
        <v>59</v>
      </c>
      <c r="F58" s="42"/>
      <c r="G58" s="5"/>
      <c r="H58" s="5">
        <v>2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3">
        <v>0</v>
      </c>
      <c r="AC58" s="5">
        <v>0</v>
      </c>
    </row>
    <row r="59" spans="1:29" x14ac:dyDescent="0.3">
      <c r="A59" s="63"/>
      <c r="B59" s="53"/>
      <c r="C59" s="33" t="s">
        <v>169</v>
      </c>
      <c r="D59" s="33"/>
      <c r="E59" s="42" t="s">
        <v>53</v>
      </c>
      <c r="F59" s="42"/>
      <c r="G59" s="5"/>
      <c r="H59" s="5">
        <v>4</v>
      </c>
      <c r="I59" s="5">
        <v>4</v>
      </c>
      <c r="J59" s="5">
        <v>4</v>
      </c>
      <c r="K59" s="5">
        <v>4</v>
      </c>
      <c r="L59" s="5">
        <v>4</v>
      </c>
      <c r="M59" s="5">
        <v>4</v>
      </c>
      <c r="N59" s="5">
        <v>4</v>
      </c>
      <c r="O59" s="5">
        <v>4</v>
      </c>
      <c r="P59" s="5">
        <v>4</v>
      </c>
      <c r="Q59" s="5">
        <v>4</v>
      </c>
      <c r="R59" s="5">
        <v>4</v>
      </c>
      <c r="S59" s="5">
        <v>4</v>
      </c>
      <c r="T59" s="5">
        <v>4</v>
      </c>
      <c r="U59" s="5">
        <v>4</v>
      </c>
      <c r="V59" s="5">
        <v>4</v>
      </c>
      <c r="W59" s="5">
        <v>4</v>
      </c>
      <c r="X59" s="5">
        <v>4</v>
      </c>
      <c r="Y59" s="5">
        <v>3</v>
      </c>
      <c r="Z59" s="5">
        <v>2</v>
      </c>
      <c r="AA59" s="5">
        <v>1</v>
      </c>
      <c r="AB59" s="3">
        <v>0</v>
      </c>
      <c r="AC59" s="5">
        <v>0</v>
      </c>
    </row>
    <row r="60" spans="1:29" x14ac:dyDescent="0.3">
      <c r="A60" s="63"/>
      <c r="B60" s="53"/>
      <c r="C60" s="33" t="s">
        <v>170</v>
      </c>
      <c r="D60" s="33"/>
      <c r="E60" s="42" t="s">
        <v>60</v>
      </c>
      <c r="F60" s="42"/>
      <c r="G60" s="5"/>
      <c r="H60" s="5">
        <v>4</v>
      </c>
      <c r="I60" s="5">
        <v>4</v>
      </c>
      <c r="J60" s="5">
        <v>4</v>
      </c>
      <c r="K60" s="5">
        <v>4</v>
      </c>
      <c r="L60" s="5">
        <v>4</v>
      </c>
      <c r="M60" s="5">
        <v>4</v>
      </c>
      <c r="N60" s="5">
        <v>4</v>
      </c>
      <c r="O60" s="5">
        <v>4</v>
      </c>
      <c r="P60" s="5">
        <v>4</v>
      </c>
      <c r="Q60" s="5">
        <v>4</v>
      </c>
      <c r="R60" s="5">
        <v>4</v>
      </c>
      <c r="S60" s="5">
        <v>4</v>
      </c>
      <c r="T60" s="5">
        <v>4</v>
      </c>
      <c r="U60" s="5">
        <v>4</v>
      </c>
      <c r="V60" s="5">
        <v>4</v>
      </c>
      <c r="W60" s="5">
        <v>4</v>
      </c>
      <c r="X60" s="5">
        <v>4</v>
      </c>
      <c r="Y60" s="5">
        <v>3</v>
      </c>
      <c r="Z60" s="5">
        <v>2</v>
      </c>
      <c r="AA60" s="5">
        <v>1</v>
      </c>
      <c r="AB60" s="3">
        <v>0</v>
      </c>
      <c r="AC60" s="5">
        <v>0</v>
      </c>
    </row>
    <row r="61" spans="1:29" x14ac:dyDescent="0.3">
      <c r="A61" s="63"/>
      <c r="B61" s="53"/>
      <c r="C61" s="34" t="s">
        <v>171</v>
      </c>
      <c r="D61" s="35"/>
      <c r="E61" s="42" t="s">
        <v>62</v>
      </c>
      <c r="F61" s="42"/>
      <c r="G61" s="5"/>
      <c r="H61" s="5">
        <v>4</v>
      </c>
      <c r="I61" s="5">
        <v>4</v>
      </c>
      <c r="J61" s="5">
        <v>4</v>
      </c>
      <c r="K61" s="5">
        <v>4</v>
      </c>
      <c r="L61" s="5">
        <v>4</v>
      </c>
      <c r="M61" s="5">
        <v>4</v>
      </c>
      <c r="N61" s="5">
        <v>4</v>
      </c>
      <c r="O61" s="5">
        <v>4</v>
      </c>
      <c r="P61" s="5">
        <v>4</v>
      </c>
      <c r="Q61" s="5">
        <v>4</v>
      </c>
      <c r="R61" s="5">
        <v>4</v>
      </c>
      <c r="S61" s="5">
        <v>4</v>
      </c>
      <c r="T61" s="5">
        <v>4</v>
      </c>
      <c r="U61" s="5">
        <v>4</v>
      </c>
      <c r="V61" s="5">
        <v>4</v>
      </c>
      <c r="W61" s="5">
        <v>4</v>
      </c>
      <c r="X61" s="5">
        <v>4</v>
      </c>
      <c r="Y61" s="5">
        <v>3</v>
      </c>
      <c r="Z61" s="5">
        <v>2</v>
      </c>
      <c r="AA61" s="5">
        <v>1</v>
      </c>
      <c r="AB61" s="3">
        <v>0</v>
      </c>
      <c r="AC61" s="5">
        <v>0</v>
      </c>
    </row>
    <row r="62" spans="1:29" x14ac:dyDescent="0.3">
      <c r="A62" s="63"/>
      <c r="B62" s="63" t="s">
        <v>43</v>
      </c>
      <c r="C62" s="33" t="s">
        <v>47</v>
      </c>
      <c r="D62" s="33"/>
      <c r="E62" s="77" t="s">
        <v>34</v>
      </c>
      <c r="F62" s="77"/>
      <c r="G62" s="5"/>
      <c r="H62" s="5">
        <v>10</v>
      </c>
      <c r="I62" s="5">
        <v>10</v>
      </c>
      <c r="J62" s="5">
        <v>10</v>
      </c>
      <c r="K62" s="5">
        <v>10</v>
      </c>
      <c r="L62" s="5">
        <v>10</v>
      </c>
      <c r="M62" s="5">
        <v>10</v>
      </c>
      <c r="N62" s="5">
        <v>10</v>
      </c>
      <c r="O62" s="5">
        <v>10</v>
      </c>
      <c r="P62" s="5">
        <v>10</v>
      </c>
      <c r="Q62" s="5">
        <v>10</v>
      </c>
      <c r="R62" s="5">
        <v>10</v>
      </c>
      <c r="S62" s="5">
        <v>10</v>
      </c>
      <c r="T62" s="5">
        <v>10</v>
      </c>
      <c r="U62" s="5">
        <v>10</v>
      </c>
      <c r="V62" s="5">
        <v>10</v>
      </c>
      <c r="W62" s="5">
        <v>10</v>
      </c>
      <c r="X62" s="5">
        <v>10</v>
      </c>
      <c r="Y62" s="5">
        <v>8</v>
      </c>
      <c r="Z62" s="5">
        <v>6</v>
      </c>
      <c r="AA62" s="5">
        <v>4</v>
      </c>
      <c r="AB62" s="5">
        <v>2</v>
      </c>
      <c r="AC62" s="3">
        <v>0</v>
      </c>
    </row>
    <row r="63" spans="1:29" x14ac:dyDescent="0.3">
      <c r="A63" s="63"/>
      <c r="B63" s="63"/>
      <c r="C63" s="33" t="s">
        <v>48</v>
      </c>
      <c r="D63" s="33"/>
      <c r="E63" s="77" t="s">
        <v>34</v>
      </c>
      <c r="F63" s="77"/>
      <c r="G63" s="5"/>
      <c r="H63" s="5">
        <v>10</v>
      </c>
      <c r="I63" s="5">
        <v>10</v>
      </c>
      <c r="J63" s="5">
        <v>10</v>
      </c>
      <c r="K63" s="5">
        <v>10</v>
      </c>
      <c r="L63" s="5">
        <v>10</v>
      </c>
      <c r="M63" s="5">
        <v>10</v>
      </c>
      <c r="N63" s="5">
        <v>10</v>
      </c>
      <c r="O63" s="5">
        <v>10</v>
      </c>
      <c r="P63" s="5">
        <v>10</v>
      </c>
      <c r="Q63" s="5">
        <v>10</v>
      </c>
      <c r="R63" s="5">
        <v>10</v>
      </c>
      <c r="S63" s="5">
        <v>10</v>
      </c>
      <c r="T63" s="5">
        <v>10</v>
      </c>
      <c r="U63" s="5">
        <v>10</v>
      </c>
      <c r="V63" s="5">
        <v>10</v>
      </c>
      <c r="W63" s="5">
        <v>10</v>
      </c>
      <c r="X63" s="5">
        <v>10</v>
      </c>
      <c r="Y63" s="5">
        <v>8</v>
      </c>
      <c r="Z63" s="5">
        <v>6</v>
      </c>
      <c r="AA63" s="5">
        <v>4</v>
      </c>
      <c r="AB63" s="5">
        <v>2</v>
      </c>
      <c r="AC63" s="3">
        <v>0</v>
      </c>
    </row>
    <row r="64" spans="1:29" x14ac:dyDescent="0.3">
      <c r="A64" s="63"/>
      <c r="B64" s="59" t="s">
        <v>13</v>
      </c>
      <c r="C64" s="59"/>
      <c r="D64" s="59"/>
      <c r="E64" s="66" t="s">
        <v>11</v>
      </c>
      <c r="F64" s="66"/>
      <c r="G64" s="66"/>
      <c r="H64" s="66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x14ac:dyDescent="0.3">
      <c r="A65" s="63"/>
      <c r="B65" s="59"/>
      <c r="C65" s="59"/>
      <c r="D65" s="59"/>
      <c r="E65" s="66" t="s">
        <v>12</v>
      </c>
      <c r="F65" s="66"/>
      <c r="G65" s="66">
        <f>SUM(H16:H63)</f>
        <v>268</v>
      </c>
      <c r="H65" s="66"/>
      <c r="I65" s="4">
        <f t="shared" ref="I65:AC65" si="2">SUM(I16:I63)</f>
        <v>253</v>
      </c>
      <c r="J65" s="4">
        <f t="shared" si="2"/>
        <v>248</v>
      </c>
      <c r="K65" s="4">
        <f t="shared" si="2"/>
        <v>233</v>
      </c>
      <c r="L65" s="4">
        <f t="shared" si="2"/>
        <v>216</v>
      </c>
      <c r="M65" s="4">
        <f t="shared" si="2"/>
        <v>204</v>
      </c>
      <c r="N65" s="4">
        <f t="shared" si="2"/>
        <v>194</v>
      </c>
      <c r="O65" s="4">
        <f t="shared" si="2"/>
        <v>189</v>
      </c>
      <c r="P65" s="4">
        <f t="shared" si="2"/>
        <v>181</v>
      </c>
      <c r="Q65" s="4">
        <f t="shared" si="2"/>
        <v>177</v>
      </c>
      <c r="R65" s="4">
        <f t="shared" si="2"/>
        <v>153</v>
      </c>
      <c r="S65" s="4">
        <f t="shared" si="2"/>
        <v>139</v>
      </c>
      <c r="T65" s="4">
        <f t="shared" si="2"/>
        <v>123</v>
      </c>
      <c r="U65" s="4">
        <f t="shared" si="2"/>
        <v>107</v>
      </c>
      <c r="V65" s="4">
        <f t="shared" si="2"/>
        <v>95</v>
      </c>
      <c r="W65" s="4">
        <f t="shared" si="2"/>
        <v>80</v>
      </c>
      <c r="X65" s="4">
        <f t="shared" si="2"/>
        <v>72</v>
      </c>
      <c r="Y65" s="4">
        <f t="shared" si="2"/>
        <v>60</v>
      </c>
      <c r="Z65" s="4">
        <f t="shared" si="2"/>
        <v>37</v>
      </c>
      <c r="AA65" s="4">
        <f t="shared" si="2"/>
        <v>14</v>
      </c>
      <c r="AB65" s="4">
        <f t="shared" si="2"/>
        <v>4</v>
      </c>
      <c r="AC65" s="4">
        <f t="shared" si="2"/>
        <v>0</v>
      </c>
    </row>
    <row r="70" spans="1:29" ht="55.2" x14ac:dyDescent="0.3">
      <c r="A70" s="17" t="s">
        <v>14</v>
      </c>
      <c r="B70" s="17" t="s">
        <v>15</v>
      </c>
      <c r="C70" s="59" t="s">
        <v>16</v>
      </c>
      <c r="D70" s="59"/>
      <c r="E70" s="59" t="s">
        <v>17</v>
      </c>
      <c r="F70" s="59"/>
      <c r="G70" s="18" t="s">
        <v>11</v>
      </c>
      <c r="H70" s="18" t="s">
        <v>12</v>
      </c>
      <c r="I70" s="19">
        <v>45982</v>
      </c>
      <c r="J70" s="19">
        <v>45983</v>
      </c>
      <c r="K70" s="19">
        <v>45984</v>
      </c>
      <c r="L70" s="19">
        <v>45985</v>
      </c>
      <c r="M70" s="19">
        <v>45986</v>
      </c>
      <c r="N70" s="19">
        <v>45987</v>
      </c>
      <c r="O70" s="19">
        <v>45988</v>
      </c>
      <c r="P70" s="19">
        <v>45989</v>
      </c>
      <c r="Q70" s="19">
        <v>45990</v>
      </c>
      <c r="R70" s="19">
        <v>45991</v>
      </c>
      <c r="S70" s="19">
        <v>45992</v>
      </c>
      <c r="T70" s="19">
        <v>45993</v>
      </c>
      <c r="U70" s="19">
        <v>45994</v>
      </c>
      <c r="V70" s="19">
        <v>45995</v>
      </c>
      <c r="W70" s="19">
        <v>45996</v>
      </c>
      <c r="X70" s="19">
        <v>45997</v>
      </c>
      <c r="Y70" s="19">
        <v>45998</v>
      </c>
      <c r="Z70" s="19">
        <v>45999</v>
      </c>
      <c r="AA70" s="19">
        <v>46000</v>
      </c>
      <c r="AB70" s="19">
        <v>46001</v>
      </c>
      <c r="AC70" s="19">
        <v>46002</v>
      </c>
    </row>
    <row r="71" spans="1:29" x14ac:dyDescent="0.3">
      <c r="A71" s="63" t="s">
        <v>30</v>
      </c>
      <c r="B71" s="33" t="s">
        <v>18</v>
      </c>
      <c r="C71" s="33"/>
      <c r="D71" s="33"/>
      <c r="E71" s="42" t="s">
        <v>34</v>
      </c>
      <c r="F71" s="42"/>
      <c r="G71" s="5">
        <v>4</v>
      </c>
      <c r="H71" s="5"/>
      <c r="I71" s="3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</row>
    <row r="72" spans="1:29" x14ac:dyDescent="0.3">
      <c r="A72" s="63"/>
      <c r="B72" s="33" t="s">
        <v>42</v>
      </c>
      <c r="C72" s="33"/>
      <c r="D72" s="33"/>
      <c r="E72" s="42" t="s">
        <v>53</v>
      </c>
      <c r="F72" s="42"/>
      <c r="G72" s="5">
        <v>4</v>
      </c>
      <c r="H72" s="5"/>
      <c r="I72" s="3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3">
      <c r="A73" s="63"/>
      <c r="B73" s="33" t="s">
        <v>20</v>
      </c>
      <c r="C73" s="33"/>
      <c r="D73" s="33"/>
      <c r="E73" s="42" t="s">
        <v>131</v>
      </c>
      <c r="F73" s="42"/>
      <c r="G73" s="5">
        <v>20</v>
      </c>
      <c r="H73" s="5"/>
      <c r="I73" s="5">
        <v>20</v>
      </c>
      <c r="J73" s="5">
        <v>20</v>
      </c>
      <c r="K73" s="5">
        <v>16</v>
      </c>
      <c r="L73" s="5">
        <v>8</v>
      </c>
      <c r="M73" s="5">
        <v>4</v>
      </c>
      <c r="N73" s="3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3">
      <c r="A74" s="63"/>
      <c r="B74" s="30" t="s">
        <v>46</v>
      </c>
      <c r="C74" s="62"/>
      <c r="D74" s="31"/>
      <c r="E74" s="28" t="s">
        <v>132</v>
      </c>
      <c r="F74" s="29"/>
      <c r="G74" s="5">
        <v>15</v>
      </c>
      <c r="H74" s="5"/>
      <c r="I74" s="5">
        <v>9</v>
      </c>
      <c r="J74" s="5">
        <v>4</v>
      </c>
      <c r="K74" s="3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ht="16.8" customHeight="1" x14ac:dyDescent="0.3">
      <c r="A75" s="63"/>
      <c r="B75" s="43" t="s">
        <v>21</v>
      </c>
      <c r="C75" s="33" t="s">
        <v>133</v>
      </c>
      <c r="D75" s="33"/>
      <c r="E75" s="42" t="s">
        <v>60</v>
      </c>
      <c r="F75" s="42"/>
      <c r="G75" s="5">
        <v>4</v>
      </c>
      <c r="H75" s="5"/>
      <c r="I75" s="5">
        <v>3</v>
      </c>
      <c r="J75" s="5">
        <v>2</v>
      </c>
      <c r="K75" s="3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spans="1:29" x14ac:dyDescent="0.3">
      <c r="A76" s="63"/>
      <c r="B76" s="53"/>
      <c r="C76" s="33" t="s">
        <v>134</v>
      </c>
      <c r="D76" s="33"/>
      <c r="E76" s="42" t="s">
        <v>53</v>
      </c>
      <c r="F76" s="42"/>
      <c r="G76" s="5">
        <v>3</v>
      </c>
      <c r="H76" s="5"/>
      <c r="I76" s="5">
        <v>2</v>
      </c>
      <c r="J76" s="5">
        <v>1</v>
      </c>
      <c r="K76" s="3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3">
      <c r="A77" s="63"/>
      <c r="B77" s="53"/>
      <c r="C77" s="33" t="s">
        <v>135</v>
      </c>
      <c r="D77" s="33"/>
      <c r="E77" s="42" t="s">
        <v>61</v>
      </c>
      <c r="F77" s="42"/>
      <c r="G77" s="5">
        <v>4</v>
      </c>
      <c r="H77" s="5"/>
      <c r="I77" s="5">
        <v>3</v>
      </c>
      <c r="J77" s="5">
        <v>2</v>
      </c>
      <c r="K77" s="5">
        <v>1</v>
      </c>
      <c r="L77" s="3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3">
      <c r="A78" s="63"/>
      <c r="B78" s="53"/>
      <c r="C78" s="30" t="s">
        <v>136</v>
      </c>
      <c r="D78" s="31"/>
      <c r="E78" s="28" t="s">
        <v>59</v>
      </c>
      <c r="F78" s="29"/>
      <c r="G78" s="5">
        <v>3</v>
      </c>
      <c r="H78" s="5"/>
      <c r="I78" s="5">
        <v>3</v>
      </c>
      <c r="J78" s="5">
        <v>2</v>
      </c>
      <c r="K78" s="5">
        <v>1</v>
      </c>
      <c r="L78" s="3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spans="1:29" x14ac:dyDescent="0.3">
      <c r="A79" s="63"/>
      <c r="B79" s="53"/>
      <c r="C79" s="33" t="s">
        <v>137</v>
      </c>
      <c r="D79" s="33"/>
      <c r="E79" s="42" t="s">
        <v>62</v>
      </c>
      <c r="F79" s="42"/>
      <c r="G79" s="5">
        <v>6</v>
      </c>
      <c r="H79" s="5"/>
      <c r="I79" s="5">
        <v>5</v>
      </c>
      <c r="J79" s="5">
        <v>4</v>
      </c>
      <c r="K79" s="5">
        <v>3</v>
      </c>
      <c r="L79" s="5">
        <v>2</v>
      </c>
      <c r="M79" s="3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3">
      <c r="A80" s="63"/>
      <c r="B80" s="53"/>
      <c r="C80" s="33" t="s">
        <v>138</v>
      </c>
      <c r="D80" s="33"/>
      <c r="E80" s="42" t="s">
        <v>53</v>
      </c>
      <c r="F80" s="42"/>
      <c r="G80" s="5">
        <v>4</v>
      </c>
      <c r="H80" s="5"/>
      <c r="I80" s="5">
        <v>4</v>
      </c>
      <c r="J80" s="5">
        <v>3</v>
      </c>
      <c r="K80" s="5">
        <v>2</v>
      </c>
      <c r="L80" s="5">
        <v>1</v>
      </c>
      <c r="M80" s="3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spans="1:30" x14ac:dyDescent="0.3">
      <c r="A81" s="63"/>
      <c r="B81" s="53"/>
      <c r="C81" s="33" t="s">
        <v>44</v>
      </c>
      <c r="D81" s="33"/>
      <c r="E81" s="42" t="s">
        <v>62</v>
      </c>
      <c r="F81" s="42"/>
      <c r="G81" s="5">
        <v>1</v>
      </c>
      <c r="H81" s="5"/>
      <c r="I81" s="5">
        <v>4</v>
      </c>
      <c r="J81" s="5">
        <v>4</v>
      </c>
      <c r="K81" s="5">
        <v>4</v>
      </c>
      <c r="L81" s="5">
        <v>4</v>
      </c>
      <c r="M81" s="5">
        <v>4</v>
      </c>
      <c r="N81" s="3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spans="1:30" x14ac:dyDescent="0.3">
      <c r="A82" s="63"/>
      <c r="B82" s="53"/>
      <c r="C82" s="28"/>
      <c r="D82" s="29"/>
      <c r="E82" s="28"/>
      <c r="F82" s="29"/>
      <c r="G82" s="5"/>
      <c r="H82" s="5"/>
      <c r="I82" s="5"/>
      <c r="J82" s="5"/>
      <c r="K82" s="5"/>
      <c r="L82" s="5"/>
      <c r="M82" s="5"/>
      <c r="N82" s="24">
        <v>-3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30" x14ac:dyDescent="0.3">
      <c r="A83" s="63"/>
      <c r="B83" s="53"/>
      <c r="C83" s="30" t="s">
        <v>139</v>
      </c>
      <c r="D83" s="31"/>
      <c r="E83" s="28" t="s">
        <v>61</v>
      </c>
      <c r="F83" s="29"/>
      <c r="G83" s="5">
        <v>3</v>
      </c>
      <c r="H83" s="5"/>
      <c r="I83" s="5">
        <v>3</v>
      </c>
      <c r="J83" s="5">
        <v>3</v>
      </c>
      <c r="K83" s="5">
        <v>3</v>
      </c>
      <c r="L83" s="5">
        <v>3</v>
      </c>
      <c r="M83" s="5">
        <v>2</v>
      </c>
      <c r="N83" s="5">
        <v>1</v>
      </c>
      <c r="O83" s="3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30" x14ac:dyDescent="0.3">
      <c r="A84" s="63"/>
      <c r="B84" s="53"/>
      <c r="C84" s="30" t="s">
        <v>140</v>
      </c>
      <c r="D84" s="31"/>
      <c r="E84" s="28" t="s">
        <v>60</v>
      </c>
      <c r="F84" s="29"/>
      <c r="G84" s="5">
        <v>1</v>
      </c>
      <c r="H84" s="5"/>
      <c r="I84" s="5">
        <v>2</v>
      </c>
      <c r="J84" s="5">
        <v>2</v>
      </c>
      <c r="K84" s="5">
        <v>2</v>
      </c>
      <c r="L84" s="5">
        <v>2</v>
      </c>
      <c r="M84" s="5">
        <v>2</v>
      </c>
      <c r="N84" s="5">
        <v>2</v>
      </c>
      <c r="O84" s="3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30" x14ac:dyDescent="0.3">
      <c r="A85" s="63"/>
      <c r="B85" s="53"/>
      <c r="C85" s="28"/>
      <c r="D85" s="29"/>
      <c r="E85" s="28"/>
      <c r="F85" s="29"/>
      <c r="G85" s="5"/>
      <c r="H85" s="5"/>
      <c r="I85" s="5"/>
      <c r="J85" s="5"/>
      <c r="K85" s="5"/>
      <c r="L85" s="5"/>
      <c r="M85" s="5"/>
      <c r="N85" s="5"/>
      <c r="O85" s="24">
        <v>-1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30" x14ac:dyDescent="0.3">
      <c r="A86" s="63"/>
      <c r="B86" s="53"/>
      <c r="C86" s="30" t="s">
        <v>141</v>
      </c>
      <c r="D86" s="31"/>
      <c r="E86" s="28" t="s">
        <v>59</v>
      </c>
      <c r="F86" s="29"/>
      <c r="G86" s="5">
        <v>4</v>
      </c>
      <c r="H86" s="5"/>
      <c r="I86" s="5">
        <v>4</v>
      </c>
      <c r="J86" s="5">
        <v>4</v>
      </c>
      <c r="K86" s="5">
        <v>4</v>
      </c>
      <c r="L86" s="5">
        <v>4</v>
      </c>
      <c r="M86" s="5">
        <v>3</v>
      </c>
      <c r="N86" s="5">
        <v>2</v>
      </c>
      <c r="O86" s="5">
        <v>1</v>
      </c>
      <c r="P86" s="3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30" x14ac:dyDescent="0.3">
      <c r="A87" s="63"/>
      <c r="B87" s="53"/>
      <c r="C87" s="30" t="s">
        <v>45</v>
      </c>
      <c r="D87" s="31"/>
      <c r="E87" s="28" t="s">
        <v>34</v>
      </c>
      <c r="F87" s="29"/>
      <c r="G87" s="5">
        <v>8</v>
      </c>
      <c r="H87" s="5"/>
      <c r="I87" s="5">
        <v>8</v>
      </c>
      <c r="J87" s="5">
        <v>8</v>
      </c>
      <c r="K87" s="5">
        <v>8</v>
      </c>
      <c r="L87" s="5">
        <v>8</v>
      </c>
      <c r="M87" s="5">
        <v>8</v>
      </c>
      <c r="N87" s="5">
        <v>6</v>
      </c>
      <c r="O87" s="5">
        <v>3</v>
      </c>
      <c r="P87" s="5">
        <v>2</v>
      </c>
      <c r="Q87" s="3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30" x14ac:dyDescent="0.3">
      <c r="A88" s="63"/>
      <c r="B88" s="43" t="s">
        <v>22</v>
      </c>
      <c r="C88" s="33" t="s">
        <v>142</v>
      </c>
      <c r="D88" s="33"/>
      <c r="E88" s="42" t="s">
        <v>61</v>
      </c>
      <c r="F88" s="42"/>
      <c r="G88" s="5">
        <v>6</v>
      </c>
      <c r="H88" s="5"/>
      <c r="I88" s="5">
        <v>6</v>
      </c>
      <c r="J88" s="5">
        <v>6</v>
      </c>
      <c r="K88" s="5">
        <v>6</v>
      </c>
      <c r="L88" s="5">
        <v>6</v>
      </c>
      <c r="M88" s="5">
        <v>6</v>
      </c>
      <c r="N88" s="5">
        <v>6</v>
      </c>
      <c r="O88" s="5">
        <v>6</v>
      </c>
      <c r="P88" s="5">
        <v>3</v>
      </c>
      <c r="Q88" s="5">
        <v>2</v>
      </c>
      <c r="R88" s="5">
        <v>1</v>
      </c>
      <c r="S88" s="3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12"/>
    </row>
    <row r="89" spans="1:30" x14ac:dyDescent="0.3">
      <c r="A89" s="63"/>
      <c r="B89" s="53"/>
      <c r="C89" s="33" t="s">
        <v>143</v>
      </c>
      <c r="D89" s="33"/>
      <c r="E89" s="42" t="s">
        <v>59</v>
      </c>
      <c r="F89" s="42"/>
      <c r="G89" s="5">
        <v>3</v>
      </c>
      <c r="H89" s="5"/>
      <c r="I89" s="5">
        <v>3</v>
      </c>
      <c r="J89" s="5">
        <v>3</v>
      </c>
      <c r="K89" s="5">
        <v>3</v>
      </c>
      <c r="L89" s="5">
        <v>3</v>
      </c>
      <c r="M89" s="5">
        <v>3</v>
      </c>
      <c r="N89" s="5">
        <v>3</v>
      </c>
      <c r="O89" s="5">
        <v>3</v>
      </c>
      <c r="P89" s="5">
        <v>2</v>
      </c>
      <c r="Q89" s="5">
        <v>2</v>
      </c>
      <c r="R89" s="3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12"/>
    </row>
    <row r="90" spans="1:30" x14ac:dyDescent="0.3">
      <c r="A90" s="63"/>
      <c r="B90" s="53"/>
      <c r="C90" s="33" t="s">
        <v>144</v>
      </c>
      <c r="D90" s="33"/>
      <c r="E90" s="42" t="s">
        <v>59</v>
      </c>
      <c r="F90" s="42"/>
      <c r="G90" s="5">
        <v>2</v>
      </c>
      <c r="H90" s="5"/>
      <c r="I90" s="5">
        <v>3</v>
      </c>
      <c r="J90" s="5">
        <v>3</v>
      </c>
      <c r="K90" s="5">
        <v>3</v>
      </c>
      <c r="L90" s="5">
        <v>3</v>
      </c>
      <c r="M90" s="5">
        <v>3</v>
      </c>
      <c r="N90" s="5">
        <v>3</v>
      </c>
      <c r="O90" s="5">
        <v>3</v>
      </c>
      <c r="P90" s="5">
        <v>2</v>
      </c>
      <c r="Q90" s="5">
        <v>2</v>
      </c>
      <c r="R90" s="3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12"/>
    </row>
    <row r="91" spans="1:30" x14ac:dyDescent="0.3">
      <c r="A91" s="63"/>
      <c r="B91" s="53"/>
      <c r="C91" s="28"/>
      <c r="D91" s="29"/>
      <c r="E91" s="28"/>
      <c r="F91" s="2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24">
        <v>-1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12"/>
    </row>
    <row r="92" spans="1:30" x14ac:dyDescent="0.3">
      <c r="A92" s="63"/>
      <c r="B92" s="53"/>
      <c r="C92" s="33" t="s">
        <v>145</v>
      </c>
      <c r="D92" s="33"/>
      <c r="E92" s="42" t="s">
        <v>53</v>
      </c>
      <c r="F92" s="42"/>
      <c r="G92" s="5">
        <v>3</v>
      </c>
      <c r="H92" s="5"/>
      <c r="I92" s="5">
        <v>3</v>
      </c>
      <c r="J92" s="5">
        <v>3</v>
      </c>
      <c r="K92" s="5">
        <v>3</v>
      </c>
      <c r="L92" s="5">
        <v>3</v>
      </c>
      <c r="M92" s="5">
        <v>3</v>
      </c>
      <c r="N92" s="5">
        <v>3</v>
      </c>
      <c r="O92" s="5">
        <v>3</v>
      </c>
      <c r="P92" s="5">
        <v>2</v>
      </c>
      <c r="Q92" s="5">
        <v>1</v>
      </c>
      <c r="R92" s="3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spans="1:30" x14ac:dyDescent="0.3">
      <c r="A93" s="63"/>
      <c r="B93" s="53"/>
      <c r="C93" s="33" t="s">
        <v>146</v>
      </c>
      <c r="D93" s="33"/>
      <c r="E93" s="42" t="s">
        <v>60</v>
      </c>
      <c r="F93" s="42"/>
      <c r="G93" s="5">
        <v>2</v>
      </c>
      <c r="H93" s="5"/>
      <c r="I93" s="5">
        <v>2</v>
      </c>
      <c r="J93" s="5">
        <v>2</v>
      </c>
      <c r="K93" s="5">
        <v>2</v>
      </c>
      <c r="L93" s="5">
        <v>2</v>
      </c>
      <c r="M93" s="5">
        <v>2</v>
      </c>
      <c r="N93" s="5">
        <v>2</v>
      </c>
      <c r="O93" s="5">
        <v>2</v>
      </c>
      <c r="P93" s="5">
        <v>2</v>
      </c>
      <c r="Q93" s="5">
        <v>1</v>
      </c>
      <c r="R93" s="3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30" x14ac:dyDescent="0.3">
      <c r="A94" s="63"/>
      <c r="B94" s="53"/>
      <c r="C94" s="34" t="s">
        <v>147</v>
      </c>
      <c r="D94" s="35"/>
      <c r="E94" s="42" t="s">
        <v>62</v>
      </c>
      <c r="F94" s="42"/>
      <c r="G94" s="5">
        <v>3</v>
      </c>
      <c r="H94" s="5"/>
      <c r="I94" s="5">
        <v>3</v>
      </c>
      <c r="J94" s="5">
        <v>3</v>
      </c>
      <c r="K94" s="5">
        <v>3</v>
      </c>
      <c r="L94" s="5">
        <v>3</v>
      </c>
      <c r="M94" s="5">
        <v>3</v>
      </c>
      <c r="N94" s="5">
        <v>3</v>
      </c>
      <c r="O94" s="5">
        <v>3</v>
      </c>
      <c r="P94" s="5">
        <v>3</v>
      </c>
      <c r="Q94" s="5">
        <v>2</v>
      </c>
      <c r="R94" s="5">
        <v>1</v>
      </c>
      <c r="S94" s="3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30" x14ac:dyDescent="0.3">
      <c r="A95" s="63"/>
      <c r="B95" s="43" t="s">
        <v>23</v>
      </c>
      <c r="C95" s="33" t="s">
        <v>148</v>
      </c>
      <c r="D95" s="33"/>
      <c r="E95" s="42" t="s">
        <v>53</v>
      </c>
      <c r="F95" s="42"/>
      <c r="G95" s="5">
        <v>10</v>
      </c>
      <c r="H95" s="5"/>
      <c r="I95" s="5">
        <v>10</v>
      </c>
      <c r="J95" s="5">
        <v>10</v>
      </c>
      <c r="K95" s="5">
        <v>10</v>
      </c>
      <c r="L95" s="5">
        <v>10</v>
      </c>
      <c r="M95" s="5">
        <v>10</v>
      </c>
      <c r="N95" s="5">
        <v>10</v>
      </c>
      <c r="O95" s="5">
        <v>10</v>
      </c>
      <c r="P95" s="5">
        <v>8</v>
      </c>
      <c r="Q95" s="5">
        <v>6</v>
      </c>
      <c r="R95" s="5">
        <v>4</v>
      </c>
      <c r="S95" s="5">
        <v>2</v>
      </c>
      <c r="T95" s="3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30" x14ac:dyDescent="0.3">
      <c r="A96" s="63"/>
      <c r="B96" s="53"/>
      <c r="C96" s="33" t="s">
        <v>149</v>
      </c>
      <c r="D96" s="33"/>
      <c r="E96" s="42" t="s">
        <v>62</v>
      </c>
      <c r="F96" s="42"/>
      <c r="G96" s="5">
        <v>10</v>
      </c>
      <c r="H96" s="5"/>
      <c r="I96" s="5">
        <v>10</v>
      </c>
      <c r="J96" s="5">
        <v>10</v>
      </c>
      <c r="K96" s="5">
        <v>10</v>
      </c>
      <c r="L96" s="5">
        <v>10</v>
      </c>
      <c r="M96" s="5">
        <v>10</v>
      </c>
      <c r="N96" s="5">
        <v>10</v>
      </c>
      <c r="O96" s="5">
        <v>10</v>
      </c>
      <c r="P96" s="5">
        <v>8</v>
      </c>
      <c r="Q96" s="5">
        <v>6</v>
      </c>
      <c r="R96" s="5">
        <v>4</v>
      </c>
      <c r="S96" s="5">
        <v>2</v>
      </c>
      <c r="T96" s="3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spans="1:29" x14ac:dyDescent="0.3">
      <c r="A97" s="63"/>
      <c r="B97" s="53"/>
      <c r="C97" s="33" t="s">
        <v>150</v>
      </c>
      <c r="D97" s="33"/>
      <c r="E97" s="28" t="s">
        <v>59</v>
      </c>
      <c r="F97" s="29"/>
      <c r="G97" s="5">
        <v>9</v>
      </c>
      <c r="H97" s="5"/>
      <c r="I97" s="5">
        <v>8</v>
      </c>
      <c r="J97" s="5">
        <v>8</v>
      </c>
      <c r="K97" s="5">
        <v>8</v>
      </c>
      <c r="L97" s="5">
        <v>8</v>
      </c>
      <c r="M97" s="5">
        <v>8</v>
      </c>
      <c r="N97" s="5">
        <v>8</v>
      </c>
      <c r="O97" s="5">
        <v>8</v>
      </c>
      <c r="P97" s="5">
        <v>8</v>
      </c>
      <c r="Q97" s="5">
        <v>8</v>
      </c>
      <c r="R97" s="5">
        <v>6</v>
      </c>
      <c r="S97" s="5">
        <v>4</v>
      </c>
      <c r="T97" s="5">
        <v>2</v>
      </c>
      <c r="U97" s="3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3">
      <c r="A98" s="63"/>
      <c r="B98" s="53"/>
      <c r="C98" s="28"/>
      <c r="D98" s="29"/>
      <c r="E98" s="28"/>
      <c r="F98" s="2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25">
        <v>1</v>
      </c>
      <c r="V98" s="5"/>
      <c r="W98" s="5"/>
      <c r="X98" s="5"/>
      <c r="Y98" s="5"/>
      <c r="Z98" s="5"/>
      <c r="AA98" s="5"/>
      <c r="AB98" s="5"/>
      <c r="AC98" s="5"/>
    </row>
    <row r="99" spans="1:29" x14ac:dyDescent="0.3">
      <c r="A99" s="63"/>
      <c r="B99" s="53"/>
      <c r="C99" s="33" t="s">
        <v>151</v>
      </c>
      <c r="D99" s="33"/>
      <c r="E99" s="28" t="s">
        <v>60</v>
      </c>
      <c r="F99" s="29"/>
      <c r="G99" s="5">
        <v>8</v>
      </c>
      <c r="H99" s="5"/>
      <c r="I99" s="5">
        <v>8</v>
      </c>
      <c r="J99" s="5">
        <v>8</v>
      </c>
      <c r="K99" s="5">
        <v>8</v>
      </c>
      <c r="L99" s="5">
        <v>8</v>
      </c>
      <c r="M99" s="5">
        <v>8</v>
      </c>
      <c r="N99" s="5">
        <v>8</v>
      </c>
      <c r="O99" s="5">
        <v>8</v>
      </c>
      <c r="P99" s="5">
        <v>8</v>
      </c>
      <c r="Q99" s="5">
        <v>8</v>
      </c>
      <c r="R99" s="5">
        <v>6</v>
      </c>
      <c r="S99" s="5">
        <v>4</v>
      </c>
      <c r="T99" s="5">
        <v>2</v>
      </c>
      <c r="U99" s="3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3">
      <c r="A100" s="63"/>
      <c r="B100" s="53"/>
      <c r="C100" s="33" t="s">
        <v>152</v>
      </c>
      <c r="D100" s="33"/>
      <c r="E100" s="28" t="s">
        <v>61</v>
      </c>
      <c r="F100" s="29"/>
      <c r="G100" s="5">
        <v>12</v>
      </c>
      <c r="H100" s="5"/>
      <c r="I100" s="5">
        <v>12</v>
      </c>
      <c r="J100" s="5">
        <v>12</v>
      </c>
      <c r="K100" s="5">
        <v>12</v>
      </c>
      <c r="L100" s="5">
        <v>12</v>
      </c>
      <c r="M100" s="5">
        <v>12</v>
      </c>
      <c r="N100" s="5">
        <v>12</v>
      </c>
      <c r="O100" s="5">
        <v>12</v>
      </c>
      <c r="P100" s="5">
        <v>12</v>
      </c>
      <c r="Q100" s="5">
        <v>12</v>
      </c>
      <c r="R100" s="5">
        <v>12</v>
      </c>
      <c r="S100" s="5">
        <v>8</v>
      </c>
      <c r="T100" s="5">
        <v>6</v>
      </c>
      <c r="U100" s="5">
        <v>4</v>
      </c>
      <c r="V100" s="5">
        <v>2</v>
      </c>
      <c r="W100" s="3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spans="1:29" x14ac:dyDescent="0.3">
      <c r="A101" s="63"/>
      <c r="B101" s="53"/>
      <c r="C101" s="33" t="s">
        <v>153</v>
      </c>
      <c r="D101" s="33"/>
      <c r="E101" s="42" t="s">
        <v>53</v>
      </c>
      <c r="F101" s="42"/>
      <c r="G101" s="5">
        <v>11</v>
      </c>
      <c r="H101" s="5"/>
      <c r="I101" s="5">
        <v>12</v>
      </c>
      <c r="J101" s="5">
        <v>12</v>
      </c>
      <c r="K101" s="5">
        <v>12</v>
      </c>
      <c r="L101" s="5">
        <v>12</v>
      </c>
      <c r="M101" s="5">
        <v>12</v>
      </c>
      <c r="N101" s="5">
        <v>12</v>
      </c>
      <c r="O101" s="5">
        <v>12</v>
      </c>
      <c r="P101" s="5">
        <v>12</v>
      </c>
      <c r="Q101" s="5">
        <v>12</v>
      </c>
      <c r="R101" s="5">
        <v>12</v>
      </c>
      <c r="S101" s="5">
        <v>8</v>
      </c>
      <c r="T101" s="5">
        <v>6</v>
      </c>
      <c r="U101" s="5">
        <v>4</v>
      </c>
      <c r="V101" s="5">
        <v>2</v>
      </c>
      <c r="W101" s="3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spans="1:29" x14ac:dyDescent="0.3">
      <c r="A102" s="63"/>
      <c r="B102" s="53"/>
      <c r="C102" s="28"/>
      <c r="D102" s="29"/>
      <c r="E102" s="28"/>
      <c r="F102" s="29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24">
        <v>-1</v>
      </c>
      <c r="X102" s="5"/>
      <c r="Y102" s="5"/>
      <c r="Z102" s="5"/>
      <c r="AA102" s="5"/>
      <c r="AB102" s="5"/>
      <c r="AC102" s="5"/>
    </row>
    <row r="103" spans="1:29" x14ac:dyDescent="0.3">
      <c r="A103" s="63"/>
      <c r="B103" s="44"/>
      <c r="C103" s="33" t="s">
        <v>32</v>
      </c>
      <c r="D103" s="33"/>
      <c r="E103" s="42" t="s">
        <v>34</v>
      </c>
      <c r="F103" s="42"/>
      <c r="G103" s="5">
        <v>20</v>
      </c>
      <c r="H103" s="5"/>
      <c r="I103" s="5">
        <v>20</v>
      </c>
      <c r="J103" s="5">
        <v>20</v>
      </c>
      <c r="K103" s="5">
        <v>20</v>
      </c>
      <c r="L103" s="5">
        <v>20</v>
      </c>
      <c r="M103" s="5">
        <v>20</v>
      </c>
      <c r="N103" s="5">
        <v>20</v>
      </c>
      <c r="O103" s="5">
        <v>20</v>
      </c>
      <c r="P103" s="5">
        <v>18</v>
      </c>
      <c r="Q103" s="5">
        <v>16</v>
      </c>
      <c r="R103" s="5">
        <v>14</v>
      </c>
      <c r="S103" s="5">
        <v>12</v>
      </c>
      <c r="T103" s="5">
        <v>10</v>
      </c>
      <c r="U103" s="5">
        <v>8</v>
      </c>
      <c r="V103" s="5">
        <v>4</v>
      </c>
      <c r="W103" s="5">
        <v>2</v>
      </c>
      <c r="X103" s="3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spans="1:29" x14ac:dyDescent="0.3">
      <c r="A104" s="63"/>
      <c r="B104" s="43" t="s">
        <v>24</v>
      </c>
      <c r="C104" s="33" t="s">
        <v>154</v>
      </c>
      <c r="D104" s="33"/>
      <c r="E104" s="42" t="s">
        <v>61</v>
      </c>
      <c r="F104" s="42"/>
      <c r="G104" s="5">
        <v>4</v>
      </c>
      <c r="H104" s="5"/>
      <c r="I104" s="5">
        <v>4</v>
      </c>
      <c r="J104" s="5">
        <v>4</v>
      </c>
      <c r="K104" s="5">
        <v>4</v>
      </c>
      <c r="L104" s="5">
        <v>4</v>
      </c>
      <c r="M104" s="5">
        <v>4</v>
      </c>
      <c r="N104" s="5">
        <v>4</v>
      </c>
      <c r="O104" s="5">
        <v>4</v>
      </c>
      <c r="P104" s="5">
        <v>4</v>
      </c>
      <c r="Q104" s="5">
        <v>4</v>
      </c>
      <c r="R104" s="5">
        <v>4</v>
      </c>
      <c r="S104" s="5">
        <v>4</v>
      </c>
      <c r="T104" s="5">
        <v>4</v>
      </c>
      <c r="U104" s="5">
        <v>4</v>
      </c>
      <c r="V104" s="5">
        <v>4</v>
      </c>
      <c r="W104" s="5">
        <v>4</v>
      </c>
      <c r="X104" s="5">
        <v>2</v>
      </c>
      <c r="Y104" s="5">
        <v>1</v>
      </c>
      <c r="Z104" s="3">
        <v>0</v>
      </c>
      <c r="AA104" s="5">
        <v>0</v>
      </c>
      <c r="AB104" s="5">
        <v>0</v>
      </c>
      <c r="AC104" s="5">
        <v>0</v>
      </c>
    </row>
    <row r="105" spans="1:29" x14ac:dyDescent="0.3">
      <c r="A105" s="63"/>
      <c r="B105" s="53"/>
      <c r="C105" s="33" t="s">
        <v>155</v>
      </c>
      <c r="D105" s="33"/>
      <c r="E105" s="42" t="s">
        <v>59</v>
      </c>
      <c r="F105" s="42"/>
      <c r="G105" s="5">
        <v>2</v>
      </c>
      <c r="H105" s="5"/>
      <c r="I105" s="5">
        <v>2</v>
      </c>
      <c r="J105" s="5">
        <v>2</v>
      </c>
      <c r="K105" s="5">
        <v>2</v>
      </c>
      <c r="L105" s="5">
        <v>2</v>
      </c>
      <c r="M105" s="5">
        <v>2</v>
      </c>
      <c r="N105" s="5">
        <v>2</v>
      </c>
      <c r="O105" s="5">
        <v>2</v>
      </c>
      <c r="P105" s="5">
        <v>2</v>
      </c>
      <c r="Q105" s="5">
        <v>2</v>
      </c>
      <c r="R105" s="5">
        <v>2</v>
      </c>
      <c r="S105" s="5">
        <v>2</v>
      </c>
      <c r="T105" s="5">
        <v>2</v>
      </c>
      <c r="U105" s="5">
        <v>2</v>
      </c>
      <c r="V105" s="5">
        <v>2</v>
      </c>
      <c r="W105" s="5">
        <v>2</v>
      </c>
      <c r="X105" s="5">
        <v>2</v>
      </c>
      <c r="Y105" s="5">
        <v>1</v>
      </c>
      <c r="Z105" s="3">
        <v>0</v>
      </c>
      <c r="AA105" s="5">
        <v>0</v>
      </c>
      <c r="AB105" s="5">
        <v>0</v>
      </c>
      <c r="AC105" s="5">
        <v>0</v>
      </c>
    </row>
    <row r="106" spans="1:29" x14ac:dyDescent="0.3">
      <c r="A106" s="63"/>
      <c r="B106" s="53"/>
      <c r="C106" s="33" t="s">
        <v>156</v>
      </c>
      <c r="D106" s="33"/>
      <c r="E106" s="42" t="s">
        <v>59</v>
      </c>
      <c r="F106" s="42"/>
      <c r="G106" s="5">
        <v>2</v>
      </c>
      <c r="H106" s="5"/>
      <c r="I106" s="5">
        <v>2</v>
      </c>
      <c r="J106" s="5">
        <v>2</v>
      </c>
      <c r="K106" s="5">
        <v>2</v>
      </c>
      <c r="L106" s="5">
        <v>2</v>
      </c>
      <c r="M106" s="5">
        <v>2</v>
      </c>
      <c r="N106" s="5">
        <v>2</v>
      </c>
      <c r="O106" s="5">
        <v>2</v>
      </c>
      <c r="P106" s="5">
        <v>2</v>
      </c>
      <c r="Q106" s="5">
        <v>2</v>
      </c>
      <c r="R106" s="5">
        <v>2</v>
      </c>
      <c r="S106" s="5">
        <v>2</v>
      </c>
      <c r="T106" s="5">
        <v>2</v>
      </c>
      <c r="U106" s="5">
        <v>2</v>
      </c>
      <c r="V106" s="5">
        <v>2</v>
      </c>
      <c r="W106" s="5">
        <v>2</v>
      </c>
      <c r="X106" s="5">
        <v>2</v>
      </c>
      <c r="Y106" s="5">
        <v>1</v>
      </c>
      <c r="Z106" s="3">
        <v>0</v>
      </c>
      <c r="AA106" s="5">
        <v>0</v>
      </c>
      <c r="AB106" s="5">
        <v>0</v>
      </c>
      <c r="AC106" s="5">
        <v>0</v>
      </c>
    </row>
    <row r="107" spans="1:29" x14ac:dyDescent="0.3">
      <c r="A107" s="63"/>
      <c r="B107" s="53"/>
      <c r="C107" s="33" t="s">
        <v>157</v>
      </c>
      <c r="D107" s="33"/>
      <c r="E107" s="42" t="s">
        <v>53</v>
      </c>
      <c r="F107" s="42"/>
      <c r="G107" s="5">
        <v>5</v>
      </c>
      <c r="H107" s="5"/>
      <c r="I107" s="5">
        <v>4</v>
      </c>
      <c r="J107" s="5">
        <v>4</v>
      </c>
      <c r="K107" s="5">
        <v>4</v>
      </c>
      <c r="L107" s="5">
        <v>4</v>
      </c>
      <c r="M107" s="5">
        <v>4</v>
      </c>
      <c r="N107" s="5">
        <v>4</v>
      </c>
      <c r="O107" s="5">
        <v>4</v>
      </c>
      <c r="P107" s="5">
        <v>4</v>
      </c>
      <c r="Q107" s="5">
        <v>4</v>
      </c>
      <c r="R107" s="5">
        <v>4</v>
      </c>
      <c r="S107" s="5">
        <v>4</v>
      </c>
      <c r="T107" s="5">
        <v>4</v>
      </c>
      <c r="U107" s="5">
        <v>4</v>
      </c>
      <c r="V107" s="5">
        <v>4</v>
      </c>
      <c r="W107" s="5">
        <v>3</v>
      </c>
      <c r="X107" s="5">
        <v>2</v>
      </c>
      <c r="Y107" s="5">
        <v>1</v>
      </c>
      <c r="Z107" s="3">
        <v>0</v>
      </c>
      <c r="AA107" s="5">
        <v>0</v>
      </c>
      <c r="AB107" s="5">
        <v>0</v>
      </c>
      <c r="AC107" s="5">
        <v>0</v>
      </c>
    </row>
    <row r="108" spans="1:29" x14ac:dyDescent="0.3">
      <c r="A108" s="63"/>
      <c r="B108" s="53"/>
      <c r="C108" s="28"/>
      <c r="D108" s="29"/>
      <c r="E108" s="28"/>
      <c r="F108" s="2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25">
        <v>1</v>
      </c>
      <c r="AA108" s="5"/>
      <c r="AB108" s="5"/>
      <c r="AC108" s="5"/>
    </row>
    <row r="109" spans="1:29" x14ac:dyDescent="0.3">
      <c r="A109" s="63"/>
      <c r="B109" s="53"/>
      <c r="C109" s="33" t="s">
        <v>158</v>
      </c>
      <c r="D109" s="33"/>
      <c r="E109" s="42" t="s">
        <v>60</v>
      </c>
      <c r="F109" s="42"/>
      <c r="G109" s="5">
        <v>4</v>
      </c>
      <c r="H109" s="5"/>
      <c r="I109" s="5">
        <v>4</v>
      </c>
      <c r="J109" s="5">
        <v>4</v>
      </c>
      <c r="K109" s="5">
        <v>4</v>
      </c>
      <c r="L109" s="5">
        <v>4</v>
      </c>
      <c r="M109" s="5">
        <v>4</v>
      </c>
      <c r="N109" s="5">
        <v>4</v>
      </c>
      <c r="O109" s="5">
        <v>4</v>
      </c>
      <c r="P109" s="5">
        <v>4</v>
      </c>
      <c r="Q109" s="5">
        <v>4</v>
      </c>
      <c r="R109" s="5">
        <v>4</v>
      </c>
      <c r="S109" s="5">
        <v>4</v>
      </c>
      <c r="T109" s="5">
        <v>4</v>
      </c>
      <c r="U109" s="5">
        <v>4</v>
      </c>
      <c r="V109" s="5">
        <v>4</v>
      </c>
      <c r="W109" s="5">
        <v>3</v>
      </c>
      <c r="X109" s="5">
        <v>2</v>
      </c>
      <c r="Y109" s="5">
        <v>1</v>
      </c>
      <c r="Z109" s="3">
        <v>0</v>
      </c>
      <c r="AA109" s="5">
        <v>0</v>
      </c>
      <c r="AB109" s="5">
        <v>0</v>
      </c>
      <c r="AC109" s="5">
        <v>0</v>
      </c>
    </row>
    <row r="110" spans="1:29" x14ac:dyDescent="0.3">
      <c r="A110" s="63"/>
      <c r="B110" s="53"/>
      <c r="C110" s="34" t="s">
        <v>159</v>
      </c>
      <c r="D110" s="35"/>
      <c r="E110" s="42" t="s">
        <v>62</v>
      </c>
      <c r="F110" s="42"/>
      <c r="G110" s="5">
        <v>4</v>
      </c>
      <c r="H110" s="5"/>
      <c r="I110" s="5">
        <v>4</v>
      </c>
      <c r="J110" s="5">
        <v>4</v>
      </c>
      <c r="K110" s="5">
        <v>4</v>
      </c>
      <c r="L110" s="5">
        <v>4</v>
      </c>
      <c r="M110" s="5">
        <v>4</v>
      </c>
      <c r="N110" s="5">
        <v>4</v>
      </c>
      <c r="O110" s="5">
        <v>4</v>
      </c>
      <c r="P110" s="5">
        <v>4</v>
      </c>
      <c r="Q110" s="5">
        <v>4</v>
      </c>
      <c r="R110" s="5">
        <v>4</v>
      </c>
      <c r="S110" s="5">
        <v>4</v>
      </c>
      <c r="T110" s="5">
        <v>4</v>
      </c>
      <c r="U110" s="5">
        <v>4</v>
      </c>
      <c r="V110" s="5">
        <v>4</v>
      </c>
      <c r="W110" s="5">
        <v>3</v>
      </c>
      <c r="X110" s="5">
        <v>2</v>
      </c>
      <c r="Y110" s="5">
        <v>1</v>
      </c>
      <c r="Z110" s="3">
        <v>0</v>
      </c>
      <c r="AA110" s="5">
        <v>0</v>
      </c>
      <c r="AB110" s="5">
        <v>0</v>
      </c>
      <c r="AC110" s="5">
        <v>0</v>
      </c>
    </row>
    <row r="111" spans="1:29" x14ac:dyDescent="0.3">
      <c r="A111" s="63"/>
      <c r="B111" s="43" t="s">
        <v>25</v>
      </c>
      <c r="C111" s="33" t="s">
        <v>160</v>
      </c>
      <c r="D111" s="33"/>
      <c r="E111" s="42" t="s">
        <v>53</v>
      </c>
      <c r="F111" s="42"/>
      <c r="G111" s="5">
        <v>2</v>
      </c>
      <c r="H111" s="5"/>
      <c r="I111" s="5">
        <v>2</v>
      </c>
      <c r="J111" s="5">
        <v>2</v>
      </c>
      <c r="K111" s="5">
        <v>2</v>
      </c>
      <c r="L111" s="5">
        <v>2</v>
      </c>
      <c r="M111" s="5">
        <v>2</v>
      </c>
      <c r="N111" s="5">
        <v>2</v>
      </c>
      <c r="O111" s="5">
        <v>2</v>
      </c>
      <c r="P111" s="5">
        <v>2</v>
      </c>
      <c r="Q111" s="5">
        <v>2</v>
      </c>
      <c r="R111" s="5">
        <v>2</v>
      </c>
      <c r="S111" s="5">
        <v>2</v>
      </c>
      <c r="T111" s="5">
        <v>2</v>
      </c>
      <c r="U111" s="5">
        <v>2</v>
      </c>
      <c r="V111" s="5">
        <v>2</v>
      </c>
      <c r="W111" s="5">
        <v>2</v>
      </c>
      <c r="X111" s="5">
        <v>2</v>
      </c>
      <c r="Y111" s="5">
        <v>2</v>
      </c>
      <c r="Z111" s="5">
        <v>1</v>
      </c>
      <c r="AA111" s="3">
        <v>0</v>
      </c>
      <c r="AB111" s="5">
        <v>0</v>
      </c>
      <c r="AC111" s="5">
        <v>0</v>
      </c>
    </row>
    <row r="112" spans="1:29" x14ac:dyDescent="0.3">
      <c r="A112" s="63"/>
      <c r="B112" s="53"/>
      <c r="C112" s="33" t="s">
        <v>161</v>
      </c>
      <c r="D112" s="33"/>
      <c r="E112" s="42" t="s">
        <v>60</v>
      </c>
      <c r="F112" s="42"/>
      <c r="G112" s="5">
        <v>4</v>
      </c>
      <c r="H112" s="5"/>
      <c r="I112" s="5">
        <v>4</v>
      </c>
      <c r="J112" s="5">
        <v>4</v>
      </c>
      <c r="K112" s="5">
        <v>4</v>
      </c>
      <c r="L112" s="5">
        <v>4</v>
      </c>
      <c r="M112" s="5">
        <v>4</v>
      </c>
      <c r="N112" s="5">
        <v>4</v>
      </c>
      <c r="O112" s="5">
        <v>4</v>
      </c>
      <c r="P112" s="5">
        <v>4</v>
      </c>
      <c r="Q112" s="5">
        <v>4</v>
      </c>
      <c r="R112" s="5">
        <v>4</v>
      </c>
      <c r="S112" s="5">
        <v>4</v>
      </c>
      <c r="T112" s="5">
        <v>4</v>
      </c>
      <c r="U112" s="5">
        <v>4</v>
      </c>
      <c r="V112" s="5">
        <v>4</v>
      </c>
      <c r="W112" s="5">
        <v>4</v>
      </c>
      <c r="X112" s="5">
        <v>3</v>
      </c>
      <c r="Y112" s="5">
        <v>2</v>
      </c>
      <c r="Z112" s="5">
        <v>1</v>
      </c>
      <c r="AA112" s="3">
        <v>0</v>
      </c>
      <c r="AB112" s="5">
        <v>0</v>
      </c>
      <c r="AC112" s="5">
        <v>0</v>
      </c>
    </row>
    <row r="113" spans="1:29" x14ac:dyDescent="0.3">
      <c r="A113" s="63"/>
      <c r="B113" s="53"/>
      <c r="C113" s="33" t="s">
        <v>162</v>
      </c>
      <c r="D113" s="33"/>
      <c r="E113" s="42" t="s">
        <v>53</v>
      </c>
      <c r="F113" s="42"/>
      <c r="G113" s="5">
        <v>2</v>
      </c>
      <c r="H113" s="5"/>
      <c r="I113" s="5">
        <v>2</v>
      </c>
      <c r="J113" s="5">
        <v>2</v>
      </c>
      <c r="K113" s="5">
        <v>2</v>
      </c>
      <c r="L113" s="5">
        <v>2</v>
      </c>
      <c r="M113" s="5">
        <v>2</v>
      </c>
      <c r="N113" s="5">
        <v>2</v>
      </c>
      <c r="O113" s="5">
        <v>2</v>
      </c>
      <c r="P113" s="5">
        <v>2</v>
      </c>
      <c r="Q113" s="5">
        <v>2</v>
      </c>
      <c r="R113" s="5">
        <v>2</v>
      </c>
      <c r="S113" s="5">
        <v>2</v>
      </c>
      <c r="T113" s="5">
        <v>2</v>
      </c>
      <c r="U113" s="5">
        <v>2</v>
      </c>
      <c r="V113" s="5">
        <v>2</v>
      </c>
      <c r="W113" s="5">
        <v>2</v>
      </c>
      <c r="X113" s="5">
        <v>2</v>
      </c>
      <c r="Y113" s="5">
        <v>2</v>
      </c>
      <c r="Z113" s="5">
        <v>1</v>
      </c>
      <c r="AA113" s="3">
        <v>0</v>
      </c>
      <c r="AB113" s="5">
        <v>0</v>
      </c>
      <c r="AC113" s="5">
        <v>0</v>
      </c>
    </row>
    <row r="114" spans="1:29" x14ac:dyDescent="0.3">
      <c r="A114" s="63"/>
      <c r="B114" s="53"/>
      <c r="C114" s="33" t="s">
        <v>163</v>
      </c>
      <c r="D114" s="33"/>
      <c r="E114" s="42" t="s">
        <v>59</v>
      </c>
      <c r="F114" s="42"/>
      <c r="G114" s="5">
        <v>3</v>
      </c>
      <c r="H114" s="5"/>
      <c r="I114" s="5">
        <v>4</v>
      </c>
      <c r="J114" s="5">
        <v>4</v>
      </c>
      <c r="K114" s="5">
        <v>4</v>
      </c>
      <c r="L114" s="5">
        <v>4</v>
      </c>
      <c r="M114" s="5">
        <v>4</v>
      </c>
      <c r="N114" s="5">
        <v>4</v>
      </c>
      <c r="O114" s="5">
        <v>4</v>
      </c>
      <c r="P114" s="5">
        <v>4</v>
      </c>
      <c r="Q114" s="5">
        <v>4</v>
      </c>
      <c r="R114" s="5">
        <v>4</v>
      </c>
      <c r="S114" s="5">
        <v>4</v>
      </c>
      <c r="T114" s="5">
        <v>4</v>
      </c>
      <c r="U114" s="5">
        <v>4</v>
      </c>
      <c r="V114" s="5">
        <v>4</v>
      </c>
      <c r="W114" s="5">
        <v>4</v>
      </c>
      <c r="X114" s="5">
        <v>4</v>
      </c>
      <c r="Y114" s="5">
        <v>4</v>
      </c>
      <c r="Z114" s="5">
        <v>3</v>
      </c>
      <c r="AA114" s="3">
        <v>0</v>
      </c>
      <c r="AB114" s="5">
        <v>0</v>
      </c>
      <c r="AC114" s="5">
        <v>0</v>
      </c>
    </row>
    <row r="115" spans="1:29" x14ac:dyDescent="0.3">
      <c r="A115" s="63"/>
      <c r="B115" s="53"/>
      <c r="C115" s="28"/>
      <c r="D115" s="29"/>
      <c r="E115" s="28"/>
      <c r="F115" s="29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24">
        <v>-1</v>
      </c>
      <c r="AB115" s="5"/>
      <c r="AC115" s="5"/>
    </row>
    <row r="116" spans="1:29" x14ac:dyDescent="0.3">
      <c r="A116" s="63"/>
      <c r="B116" s="53"/>
      <c r="C116" s="33" t="s">
        <v>164</v>
      </c>
      <c r="D116" s="33"/>
      <c r="E116" s="42" t="s">
        <v>62</v>
      </c>
      <c r="F116" s="42"/>
      <c r="G116" s="5">
        <v>4</v>
      </c>
      <c r="H116" s="5"/>
      <c r="I116" s="5">
        <v>4</v>
      </c>
      <c r="J116" s="5">
        <v>4</v>
      </c>
      <c r="K116" s="5">
        <v>4</v>
      </c>
      <c r="L116" s="5">
        <v>4</v>
      </c>
      <c r="M116" s="5">
        <v>4</v>
      </c>
      <c r="N116" s="5">
        <v>4</v>
      </c>
      <c r="O116" s="5">
        <v>4</v>
      </c>
      <c r="P116" s="5">
        <v>4</v>
      </c>
      <c r="Q116" s="5">
        <v>4</v>
      </c>
      <c r="R116" s="5">
        <v>4</v>
      </c>
      <c r="S116" s="5">
        <v>4</v>
      </c>
      <c r="T116" s="5">
        <v>4</v>
      </c>
      <c r="U116" s="5">
        <v>4</v>
      </c>
      <c r="V116" s="5">
        <v>4</v>
      </c>
      <c r="W116" s="5">
        <v>4</v>
      </c>
      <c r="X116" s="5">
        <v>3</v>
      </c>
      <c r="Y116" s="5">
        <v>2</v>
      </c>
      <c r="Z116" s="5">
        <v>1</v>
      </c>
      <c r="AA116" s="3">
        <v>0</v>
      </c>
      <c r="AB116" s="5">
        <v>0</v>
      </c>
      <c r="AC116" s="5">
        <v>0</v>
      </c>
    </row>
    <row r="117" spans="1:29" x14ac:dyDescent="0.3">
      <c r="A117" s="63"/>
      <c r="B117" s="53"/>
      <c r="C117" s="34" t="s">
        <v>165</v>
      </c>
      <c r="D117" s="35"/>
      <c r="E117" s="42" t="s">
        <v>61</v>
      </c>
      <c r="F117" s="42"/>
      <c r="G117" s="5">
        <v>4</v>
      </c>
      <c r="H117" s="5"/>
      <c r="I117" s="5">
        <v>4</v>
      </c>
      <c r="J117" s="5">
        <v>4</v>
      </c>
      <c r="K117" s="5">
        <v>4</v>
      </c>
      <c r="L117" s="5">
        <v>4</v>
      </c>
      <c r="M117" s="5">
        <v>4</v>
      </c>
      <c r="N117" s="5">
        <v>4</v>
      </c>
      <c r="O117" s="5">
        <v>4</v>
      </c>
      <c r="P117" s="5">
        <v>4</v>
      </c>
      <c r="Q117" s="5">
        <v>4</v>
      </c>
      <c r="R117" s="5">
        <v>4</v>
      </c>
      <c r="S117" s="5">
        <v>4</v>
      </c>
      <c r="T117" s="5">
        <v>4</v>
      </c>
      <c r="U117" s="5">
        <v>4</v>
      </c>
      <c r="V117" s="5">
        <v>4</v>
      </c>
      <c r="W117" s="5">
        <v>4</v>
      </c>
      <c r="X117" s="5">
        <v>3</v>
      </c>
      <c r="Y117" s="5">
        <v>2</v>
      </c>
      <c r="Z117" s="5">
        <v>1</v>
      </c>
      <c r="AA117" s="3">
        <v>0</v>
      </c>
      <c r="AB117" s="5">
        <v>0</v>
      </c>
      <c r="AC117" s="5">
        <v>0</v>
      </c>
    </row>
    <row r="118" spans="1:29" x14ac:dyDescent="0.3">
      <c r="A118" s="63"/>
      <c r="B118" s="43" t="s">
        <v>26</v>
      </c>
      <c r="C118" s="33" t="s">
        <v>166</v>
      </c>
      <c r="D118" s="33"/>
      <c r="E118" s="42" t="s">
        <v>61</v>
      </c>
      <c r="F118" s="42"/>
      <c r="G118" s="5">
        <v>4</v>
      </c>
      <c r="H118" s="5"/>
      <c r="I118" s="5">
        <v>4</v>
      </c>
      <c r="J118" s="5">
        <v>4</v>
      </c>
      <c r="K118" s="5">
        <v>4</v>
      </c>
      <c r="L118" s="5">
        <v>4</v>
      </c>
      <c r="M118" s="5">
        <v>4</v>
      </c>
      <c r="N118" s="5">
        <v>4</v>
      </c>
      <c r="O118" s="5">
        <v>4</v>
      </c>
      <c r="P118" s="5">
        <v>4</v>
      </c>
      <c r="Q118" s="5">
        <v>4</v>
      </c>
      <c r="R118" s="5">
        <v>4</v>
      </c>
      <c r="S118" s="5">
        <v>4</v>
      </c>
      <c r="T118" s="5">
        <v>4</v>
      </c>
      <c r="U118" s="5">
        <v>4</v>
      </c>
      <c r="V118" s="5">
        <v>4</v>
      </c>
      <c r="W118" s="5">
        <v>4</v>
      </c>
      <c r="X118" s="5">
        <v>4</v>
      </c>
      <c r="Y118" s="5">
        <v>3</v>
      </c>
      <c r="Z118" s="5">
        <v>2</v>
      </c>
      <c r="AA118" s="5">
        <v>1</v>
      </c>
      <c r="AB118" s="3">
        <v>0</v>
      </c>
      <c r="AC118" s="5">
        <v>0</v>
      </c>
    </row>
    <row r="119" spans="1:29" x14ac:dyDescent="0.3">
      <c r="A119" s="63"/>
      <c r="B119" s="53"/>
      <c r="C119" s="33" t="s">
        <v>167</v>
      </c>
      <c r="D119" s="33"/>
      <c r="E119" s="42" t="s">
        <v>59</v>
      </c>
      <c r="F119" s="42"/>
      <c r="G119" s="5">
        <v>2</v>
      </c>
      <c r="H119" s="5"/>
      <c r="I119" s="5">
        <v>2</v>
      </c>
      <c r="J119" s="5">
        <v>2</v>
      </c>
      <c r="K119" s="5">
        <v>2</v>
      </c>
      <c r="L119" s="5">
        <v>2</v>
      </c>
      <c r="M119" s="5">
        <v>2</v>
      </c>
      <c r="N119" s="5">
        <v>2</v>
      </c>
      <c r="O119" s="5">
        <v>2</v>
      </c>
      <c r="P119" s="5">
        <v>2</v>
      </c>
      <c r="Q119" s="5">
        <v>2</v>
      </c>
      <c r="R119" s="5">
        <v>2</v>
      </c>
      <c r="S119" s="5">
        <v>2</v>
      </c>
      <c r="T119" s="5">
        <v>2</v>
      </c>
      <c r="U119" s="5">
        <v>2</v>
      </c>
      <c r="V119" s="5">
        <v>2</v>
      </c>
      <c r="W119" s="5">
        <v>2</v>
      </c>
      <c r="X119" s="5">
        <v>2</v>
      </c>
      <c r="Y119" s="5">
        <v>2</v>
      </c>
      <c r="Z119" s="5">
        <v>2</v>
      </c>
      <c r="AA119" s="5">
        <v>1</v>
      </c>
      <c r="AB119" s="3">
        <v>0</v>
      </c>
      <c r="AC119" s="5">
        <v>0</v>
      </c>
    </row>
    <row r="120" spans="1:29" x14ac:dyDescent="0.3">
      <c r="A120" s="63"/>
      <c r="B120" s="53"/>
      <c r="C120" s="33" t="s">
        <v>168</v>
      </c>
      <c r="D120" s="33"/>
      <c r="E120" s="42" t="s">
        <v>59</v>
      </c>
      <c r="F120" s="42"/>
      <c r="G120" s="5">
        <v>2</v>
      </c>
      <c r="H120" s="5"/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3">
        <v>0</v>
      </c>
      <c r="AC120" s="5">
        <v>0</v>
      </c>
    </row>
    <row r="121" spans="1:29" x14ac:dyDescent="0.3">
      <c r="A121" s="63"/>
      <c r="B121" s="53"/>
      <c r="C121" s="33" t="s">
        <v>169</v>
      </c>
      <c r="D121" s="33"/>
      <c r="E121" s="42" t="s">
        <v>53</v>
      </c>
      <c r="F121" s="42"/>
      <c r="G121" s="5">
        <v>4</v>
      </c>
      <c r="H121" s="5"/>
      <c r="I121" s="5">
        <v>4</v>
      </c>
      <c r="J121" s="5">
        <v>4</v>
      </c>
      <c r="K121" s="5">
        <v>4</v>
      </c>
      <c r="L121" s="5">
        <v>4</v>
      </c>
      <c r="M121" s="5">
        <v>4</v>
      </c>
      <c r="N121" s="5">
        <v>4</v>
      </c>
      <c r="O121" s="5">
        <v>4</v>
      </c>
      <c r="P121" s="5">
        <v>4</v>
      </c>
      <c r="Q121" s="5">
        <v>4</v>
      </c>
      <c r="R121" s="5">
        <v>4</v>
      </c>
      <c r="S121" s="5">
        <v>4</v>
      </c>
      <c r="T121" s="5">
        <v>3</v>
      </c>
      <c r="U121" s="5">
        <v>3</v>
      </c>
      <c r="V121" s="5">
        <v>3</v>
      </c>
      <c r="W121" s="5">
        <v>3</v>
      </c>
      <c r="X121" s="5">
        <v>3</v>
      </c>
      <c r="Y121" s="5">
        <v>3</v>
      </c>
      <c r="Z121" s="5">
        <v>2</v>
      </c>
      <c r="AA121" s="5">
        <v>1</v>
      </c>
      <c r="AB121" s="3">
        <v>0</v>
      </c>
      <c r="AC121" s="5">
        <v>0</v>
      </c>
    </row>
    <row r="122" spans="1:29" x14ac:dyDescent="0.3">
      <c r="A122" s="63"/>
      <c r="B122" s="53"/>
      <c r="C122" s="33" t="s">
        <v>170</v>
      </c>
      <c r="D122" s="33"/>
      <c r="E122" s="42" t="s">
        <v>60</v>
      </c>
      <c r="F122" s="42"/>
      <c r="G122" s="5">
        <v>4</v>
      </c>
      <c r="H122" s="5"/>
      <c r="I122" s="5">
        <v>4</v>
      </c>
      <c r="J122" s="5">
        <v>4</v>
      </c>
      <c r="K122" s="5">
        <v>4</v>
      </c>
      <c r="L122" s="5">
        <v>4</v>
      </c>
      <c r="M122" s="5">
        <v>4</v>
      </c>
      <c r="N122" s="5">
        <v>4</v>
      </c>
      <c r="O122" s="5">
        <v>4</v>
      </c>
      <c r="P122" s="5">
        <v>4</v>
      </c>
      <c r="Q122" s="5">
        <v>4</v>
      </c>
      <c r="R122" s="5">
        <v>4</v>
      </c>
      <c r="S122" s="5">
        <v>4</v>
      </c>
      <c r="T122" s="5">
        <v>3</v>
      </c>
      <c r="U122" s="5">
        <v>3</v>
      </c>
      <c r="V122" s="5">
        <v>3</v>
      </c>
      <c r="W122" s="5">
        <v>3</v>
      </c>
      <c r="X122" s="5">
        <v>3</v>
      </c>
      <c r="Y122" s="5">
        <v>3</v>
      </c>
      <c r="Z122" s="5">
        <v>2</v>
      </c>
      <c r="AA122" s="5">
        <v>1</v>
      </c>
      <c r="AB122" s="3">
        <v>0</v>
      </c>
      <c r="AC122" s="5">
        <v>0</v>
      </c>
    </row>
    <row r="123" spans="1:29" x14ac:dyDescent="0.3">
      <c r="A123" s="63"/>
      <c r="B123" s="53"/>
      <c r="C123" s="34" t="s">
        <v>171</v>
      </c>
      <c r="D123" s="35"/>
      <c r="E123" s="42" t="s">
        <v>62</v>
      </c>
      <c r="F123" s="42"/>
      <c r="G123" s="5">
        <v>4</v>
      </c>
      <c r="H123" s="5"/>
      <c r="I123" s="5">
        <v>4</v>
      </c>
      <c r="J123" s="5">
        <v>4</v>
      </c>
      <c r="K123" s="5">
        <v>4</v>
      </c>
      <c r="L123" s="5">
        <v>4</v>
      </c>
      <c r="M123" s="5">
        <v>4</v>
      </c>
      <c r="N123" s="5">
        <v>4</v>
      </c>
      <c r="O123" s="5">
        <v>4</v>
      </c>
      <c r="P123" s="5">
        <v>4</v>
      </c>
      <c r="Q123" s="5">
        <v>4</v>
      </c>
      <c r="R123" s="5">
        <v>4</v>
      </c>
      <c r="S123" s="5">
        <v>4</v>
      </c>
      <c r="T123" s="5">
        <v>4</v>
      </c>
      <c r="U123" s="5">
        <v>4</v>
      </c>
      <c r="V123" s="5">
        <v>4</v>
      </c>
      <c r="W123" s="5">
        <v>4</v>
      </c>
      <c r="X123" s="5">
        <v>4</v>
      </c>
      <c r="Y123" s="5">
        <v>3</v>
      </c>
      <c r="Z123" s="5">
        <v>2</v>
      </c>
      <c r="AA123" s="5">
        <v>1</v>
      </c>
      <c r="AB123" s="3">
        <v>0</v>
      </c>
      <c r="AC123" s="5">
        <v>0</v>
      </c>
    </row>
    <row r="124" spans="1:29" x14ac:dyDescent="0.3">
      <c r="A124" s="63"/>
      <c r="B124" s="63" t="s">
        <v>43</v>
      </c>
      <c r="C124" s="33" t="s">
        <v>47</v>
      </c>
      <c r="D124" s="33"/>
      <c r="E124" s="77" t="s">
        <v>34</v>
      </c>
      <c r="F124" s="77"/>
      <c r="G124" s="5">
        <v>10</v>
      </c>
      <c r="H124" s="5"/>
      <c r="I124" s="5">
        <v>10</v>
      </c>
      <c r="J124" s="5">
        <v>10</v>
      </c>
      <c r="K124" s="5">
        <v>10</v>
      </c>
      <c r="L124" s="5">
        <v>10</v>
      </c>
      <c r="M124" s="5">
        <v>10</v>
      </c>
      <c r="N124" s="5">
        <v>10</v>
      </c>
      <c r="O124" s="5">
        <v>10</v>
      </c>
      <c r="P124" s="5">
        <v>10</v>
      </c>
      <c r="Q124" s="5">
        <v>10</v>
      </c>
      <c r="R124" s="5">
        <v>10</v>
      </c>
      <c r="S124" s="5">
        <v>10</v>
      </c>
      <c r="T124" s="5">
        <v>10</v>
      </c>
      <c r="U124" s="5">
        <v>10</v>
      </c>
      <c r="V124" s="5">
        <v>10</v>
      </c>
      <c r="W124" s="5">
        <v>10</v>
      </c>
      <c r="X124" s="5">
        <v>10</v>
      </c>
      <c r="Y124" s="5">
        <v>8</v>
      </c>
      <c r="Z124" s="5">
        <v>6</v>
      </c>
      <c r="AA124" s="5">
        <v>4</v>
      </c>
      <c r="AB124" s="5">
        <v>2</v>
      </c>
      <c r="AC124" s="6">
        <v>0</v>
      </c>
    </row>
    <row r="125" spans="1:29" x14ac:dyDescent="0.3">
      <c r="A125" s="63"/>
      <c r="B125" s="63"/>
      <c r="C125" s="33" t="s">
        <v>48</v>
      </c>
      <c r="D125" s="33"/>
      <c r="E125" s="77" t="s">
        <v>34</v>
      </c>
      <c r="F125" s="77"/>
      <c r="G125" s="5">
        <v>10</v>
      </c>
      <c r="H125" s="5"/>
      <c r="I125" s="5">
        <v>10</v>
      </c>
      <c r="J125" s="5">
        <v>10</v>
      </c>
      <c r="K125" s="5">
        <v>10</v>
      </c>
      <c r="L125" s="5">
        <v>10</v>
      </c>
      <c r="M125" s="5">
        <v>10</v>
      </c>
      <c r="N125" s="5">
        <v>10</v>
      </c>
      <c r="O125" s="5">
        <v>10</v>
      </c>
      <c r="P125" s="5">
        <v>10</v>
      </c>
      <c r="Q125" s="5">
        <v>10</v>
      </c>
      <c r="R125" s="5">
        <v>10</v>
      </c>
      <c r="S125" s="5">
        <v>10</v>
      </c>
      <c r="T125" s="5">
        <v>10</v>
      </c>
      <c r="U125" s="5">
        <v>10</v>
      </c>
      <c r="V125" s="5">
        <v>10</v>
      </c>
      <c r="W125" s="5">
        <v>10</v>
      </c>
      <c r="X125" s="5">
        <v>10</v>
      </c>
      <c r="Y125" s="5">
        <v>8</v>
      </c>
      <c r="Z125" s="5">
        <v>6</v>
      </c>
      <c r="AA125" s="5">
        <v>4</v>
      </c>
      <c r="AB125" s="5">
        <v>2</v>
      </c>
      <c r="AC125" s="6">
        <v>0</v>
      </c>
    </row>
    <row r="126" spans="1:29" x14ac:dyDescent="0.3">
      <c r="A126" s="63"/>
      <c r="B126" s="59" t="s">
        <v>13</v>
      </c>
      <c r="C126" s="59"/>
      <c r="D126" s="59"/>
      <c r="E126" s="66" t="s">
        <v>11</v>
      </c>
      <c r="F126" s="66"/>
      <c r="G126" s="66">
        <f>SUM(G71:G125)</f>
        <v>263</v>
      </c>
      <c r="H126" s="66"/>
      <c r="I126" s="4">
        <f t="shared" ref="I126:AB126" si="3">SUM(I71:I125)</f>
        <v>249</v>
      </c>
      <c r="J126" s="4">
        <f t="shared" si="3"/>
        <v>238</v>
      </c>
      <c r="K126" s="4">
        <f t="shared" si="3"/>
        <v>223</v>
      </c>
      <c r="L126" s="4">
        <f t="shared" si="3"/>
        <v>211</v>
      </c>
      <c r="M126" s="4">
        <f t="shared" si="3"/>
        <v>202</v>
      </c>
      <c r="N126" s="4">
        <f t="shared" si="3"/>
        <v>187</v>
      </c>
      <c r="O126" s="4">
        <f t="shared" si="3"/>
        <v>182</v>
      </c>
      <c r="P126" s="4">
        <f t="shared" si="3"/>
        <v>169</v>
      </c>
      <c r="Q126" s="4">
        <f t="shared" si="3"/>
        <v>157</v>
      </c>
      <c r="R126" s="4">
        <f t="shared" si="3"/>
        <v>138</v>
      </c>
      <c r="S126" s="4">
        <f t="shared" si="3"/>
        <v>119</v>
      </c>
      <c r="T126" s="4">
        <f t="shared" si="3"/>
        <v>103</v>
      </c>
      <c r="U126" s="4">
        <f t="shared" si="3"/>
        <v>94</v>
      </c>
      <c r="V126" s="4">
        <f t="shared" si="3"/>
        <v>85</v>
      </c>
      <c r="W126" s="4">
        <f t="shared" si="3"/>
        <v>75</v>
      </c>
      <c r="X126" s="4">
        <f t="shared" si="3"/>
        <v>66</v>
      </c>
      <c r="Y126" s="4">
        <f t="shared" si="3"/>
        <v>51</v>
      </c>
      <c r="Z126" s="4">
        <f t="shared" si="3"/>
        <v>32</v>
      </c>
      <c r="AA126" s="4">
        <f t="shared" si="3"/>
        <v>13</v>
      </c>
      <c r="AB126" s="4">
        <f t="shared" si="3"/>
        <v>4</v>
      </c>
    </row>
    <row r="127" spans="1:29" x14ac:dyDescent="0.3">
      <c r="A127" s="63"/>
      <c r="B127" s="59"/>
      <c r="C127" s="59"/>
      <c r="D127" s="59"/>
      <c r="E127" s="66" t="s">
        <v>12</v>
      </c>
      <c r="F127" s="66"/>
      <c r="G127" s="66"/>
      <c r="H127" s="6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31" spans="7:28" ht="47.4" customHeight="1" x14ac:dyDescent="0.3">
      <c r="G131" s="42"/>
      <c r="H131" s="42"/>
      <c r="I131" s="19">
        <v>45768</v>
      </c>
      <c r="J131" s="19">
        <v>45769</v>
      </c>
      <c r="K131" s="19">
        <v>45770</v>
      </c>
      <c r="L131" s="19">
        <v>45771</v>
      </c>
      <c r="M131" s="19">
        <v>45772</v>
      </c>
      <c r="N131" s="19">
        <v>45773</v>
      </c>
      <c r="O131" s="19">
        <v>45774</v>
      </c>
      <c r="P131" s="19">
        <v>45775</v>
      </c>
      <c r="Q131" s="19">
        <v>45776</v>
      </c>
      <c r="R131" s="19">
        <v>45777</v>
      </c>
      <c r="S131" s="19">
        <v>45778</v>
      </c>
      <c r="T131" s="19">
        <v>45779</v>
      </c>
      <c r="U131" s="19">
        <v>45780</v>
      </c>
      <c r="V131" s="19">
        <v>45781</v>
      </c>
      <c r="W131" s="19">
        <v>45782</v>
      </c>
      <c r="X131" s="19">
        <v>45783</v>
      </c>
      <c r="Y131" s="19">
        <v>45784</v>
      </c>
      <c r="Z131" s="19">
        <v>45785</v>
      </c>
      <c r="AA131" s="19">
        <v>45786</v>
      </c>
      <c r="AB131" s="19">
        <v>45787</v>
      </c>
    </row>
    <row r="132" spans="7:28" x14ac:dyDescent="0.3">
      <c r="G132" s="42" t="s">
        <v>12</v>
      </c>
      <c r="H132" s="42"/>
      <c r="I132" s="16">
        <f t="shared" ref="I132:AB132" si="4">SUM(I16:I63)</f>
        <v>253</v>
      </c>
      <c r="J132" s="16">
        <f t="shared" si="4"/>
        <v>248</v>
      </c>
      <c r="K132" s="16">
        <f t="shared" si="4"/>
        <v>233</v>
      </c>
      <c r="L132" s="16">
        <f t="shared" si="4"/>
        <v>216</v>
      </c>
      <c r="M132" s="16">
        <f t="shared" si="4"/>
        <v>204</v>
      </c>
      <c r="N132" s="16">
        <f t="shared" si="4"/>
        <v>194</v>
      </c>
      <c r="O132" s="16">
        <f t="shared" si="4"/>
        <v>189</v>
      </c>
      <c r="P132" s="16">
        <f t="shared" si="4"/>
        <v>181</v>
      </c>
      <c r="Q132" s="16">
        <f t="shared" si="4"/>
        <v>177</v>
      </c>
      <c r="R132" s="16">
        <f t="shared" si="4"/>
        <v>153</v>
      </c>
      <c r="S132" s="16">
        <f t="shared" si="4"/>
        <v>139</v>
      </c>
      <c r="T132" s="16">
        <f t="shared" si="4"/>
        <v>123</v>
      </c>
      <c r="U132" s="16">
        <f t="shared" si="4"/>
        <v>107</v>
      </c>
      <c r="V132" s="16">
        <f t="shared" si="4"/>
        <v>95</v>
      </c>
      <c r="W132" s="16">
        <f t="shared" si="4"/>
        <v>80</v>
      </c>
      <c r="X132" s="16">
        <f t="shared" si="4"/>
        <v>72</v>
      </c>
      <c r="Y132" s="16">
        <f t="shared" si="4"/>
        <v>60</v>
      </c>
      <c r="Z132" s="16">
        <f t="shared" si="4"/>
        <v>37</v>
      </c>
      <c r="AA132" s="16">
        <f t="shared" si="4"/>
        <v>14</v>
      </c>
      <c r="AB132" s="16">
        <f t="shared" si="4"/>
        <v>4</v>
      </c>
    </row>
    <row r="133" spans="7:28" x14ac:dyDescent="0.3">
      <c r="G133" s="42" t="s">
        <v>11</v>
      </c>
      <c r="H133" s="42"/>
      <c r="I133" s="16">
        <f t="shared" ref="I133:AB133" si="5">SUM(I71:I125)</f>
        <v>249</v>
      </c>
      <c r="J133" s="16">
        <f t="shared" si="5"/>
        <v>238</v>
      </c>
      <c r="K133" s="16">
        <f t="shared" si="5"/>
        <v>223</v>
      </c>
      <c r="L133" s="16">
        <f t="shared" si="5"/>
        <v>211</v>
      </c>
      <c r="M133" s="16">
        <f t="shared" si="5"/>
        <v>202</v>
      </c>
      <c r="N133" s="16">
        <f t="shared" si="5"/>
        <v>187</v>
      </c>
      <c r="O133" s="16">
        <f t="shared" si="5"/>
        <v>182</v>
      </c>
      <c r="P133" s="16">
        <f t="shared" si="5"/>
        <v>169</v>
      </c>
      <c r="Q133" s="16">
        <f t="shared" si="5"/>
        <v>157</v>
      </c>
      <c r="R133" s="16">
        <f t="shared" si="5"/>
        <v>138</v>
      </c>
      <c r="S133" s="16">
        <f t="shared" si="5"/>
        <v>119</v>
      </c>
      <c r="T133" s="16">
        <f t="shared" si="5"/>
        <v>103</v>
      </c>
      <c r="U133" s="16">
        <f t="shared" si="5"/>
        <v>94</v>
      </c>
      <c r="V133" s="16">
        <f t="shared" si="5"/>
        <v>85</v>
      </c>
      <c r="W133" s="16">
        <f t="shared" si="5"/>
        <v>75</v>
      </c>
      <c r="X133" s="16">
        <f t="shared" si="5"/>
        <v>66</v>
      </c>
      <c r="Y133" s="16">
        <f t="shared" si="5"/>
        <v>51</v>
      </c>
      <c r="Z133" s="16">
        <f t="shared" si="5"/>
        <v>32</v>
      </c>
      <c r="AA133" s="16">
        <f t="shared" si="5"/>
        <v>13</v>
      </c>
      <c r="AB133" s="16">
        <f t="shared" si="5"/>
        <v>4</v>
      </c>
    </row>
  </sheetData>
  <mergeCells count="252">
    <mergeCell ref="O1:Q1"/>
    <mergeCell ref="O2:Q2"/>
    <mergeCell ref="O3:Q3"/>
    <mergeCell ref="C61:D61"/>
    <mergeCell ref="E61:F61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55:F55"/>
    <mergeCell ref="E60:F60"/>
    <mergeCell ref="C49:D49"/>
    <mergeCell ref="E49:F49"/>
    <mergeCell ref="C45:D45"/>
    <mergeCell ref="E45:F45"/>
    <mergeCell ref="C46:D46"/>
    <mergeCell ref="E46:F46"/>
    <mergeCell ref="C47:D47"/>
    <mergeCell ref="E47:F47"/>
    <mergeCell ref="E115:F115"/>
    <mergeCell ref="C115:D115"/>
    <mergeCell ref="E28:F28"/>
    <mergeCell ref="E29:F29"/>
    <mergeCell ref="C28:D28"/>
    <mergeCell ref="C29:D29"/>
    <mergeCell ref="C70:D70"/>
    <mergeCell ref="E70:F70"/>
    <mergeCell ref="E83:F83"/>
    <mergeCell ref="C86:D86"/>
    <mergeCell ref="E86:F86"/>
    <mergeCell ref="C87:D87"/>
    <mergeCell ref="E87:F87"/>
    <mergeCell ref="C88:D88"/>
    <mergeCell ref="E88:F88"/>
    <mergeCell ref="B64:D65"/>
    <mergeCell ref="E64:F64"/>
    <mergeCell ref="C50:D50"/>
    <mergeCell ref="E50:F50"/>
    <mergeCell ref="C48:D48"/>
    <mergeCell ref="E48:F48"/>
    <mergeCell ref="G64:H64"/>
    <mergeCell ref="E65:F65"/>
    <mergeCell ref="G65:H65"/>
    <mergeCell ref="B62:B63"/>
    <mergeCell ref="C62:D62"/>
    <mergeCell ref="E62:F62"/>
    <mergeCell ref="C63:D63"/>
    <mergeCell ref="E63:F63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B56:B61"/>
    <mergeCell ref="C43:D43"/>
    <mergeCell ref="E43:F43"/>
    <mergeCell ref="C44:D44"/>
    <mergeCell ref="E44:F44"/>
    <mergeCell ref="E38:F38"/>
    <mergeCell ref="C39:D39"/>
    <mergeCell ref="E39:F39"/>
    <mergeCell ref="C40:D40"/>
    <mergeCell ref="E40:F40"/>
    <mergeCell ref="C41:D41"/>
    <mergeCell ref="E41:F41"/>
    <mergeCell ref="C38:D38"/>
    <mergeCell ref="C42:D42"/>
    <mergeCell ref="E42:F42"/>
    <mergeCell ref="E33:F33"/>
    <mergeCell ref="C34:D34"/>
    <mergeCell ref="E34:F34"/>
    <mergeCell ref="C35:D35"/>
    <mergeCell ref="E35:F35"/>
    <mergeCell ref="C36:D36"/>
    <mergeCell ref="E36:F36"/>
    <mergeCell ref="B20:B30"/>
    <mergeCell ref="B50:B55"/>
    <mergeCell ref="B44:B49"/>
    <mergeCell ref="C26:D26"/>
    <mergeCell ref="E26:F26"/>
    <mergeCell ref="C27:D27"/>
    <mergeCell ref="E27:F27"/>
    <mergeCell ref="C30:D30"/>
    <mergeCell ref="E30:F30"/>
    <mergeCell ref="C23:D23"/>
    <mergeCell ref="E23:F23"/>
    <mergeCell ref="C24:D24"/>
    <mergeCell ref="E24:F24"/>
    <mergeCell ref="C25:D25"/>
    <mergeCell ref="E25:F25"/>
    <mergeCell ref="B31:B36"/>
    <mergeCell ref="C31:D31"/>
    <mergeCell ref="E31:F31"/>
    <mergeCell ref="C32:D32"/>
    <mergeCell ref="E32:F32"/>
    <mergeCell ref="C33:D33"/>
    <mergeCell ref="C37:D37"/>
    <mergeCell ref="E37:F37"/>
    <mergeCell ref="A1:B1"/>
    <mergeCell ref="A2:B2"/>
    <mergeCell ref="A3:B3"/>
    <mergeCell ref="A4:B4"/>
    <mergeCell ref="B6:E6"/>
    <mergeCell ref="B13:C13"/>
    <mergeCell ref="B19:D19"/>
    <mergeCell ref="E19:F19"/>
    <mergeCell ref="B37:B43"/>
    <mergeCell ref="C20:D20"/>
    <mergeCell ref="E20:F20"/>
    <mergeCell ref="C21:D21"/>
    <mergeCell ref="E21:F21"/>
    <mergeCell ref="C22:D22"/>
    <mergeCell ref="E22:F22"/>
    <mergeCell ref="C15:D15"/>
    <mergeCell ref="E15:F15"/>
    <mergeCell ref="A16:A65"/>
    <mergeCell ref="B16:D16"/>
    <mergeCell ref="E16:F16"/>
    <mergeCell ref="B17:D17"/>
    <mergeCell ref="E17:F17"/>
    <mergeCell ref="B18:D18"/>
    <mergeCell ref="E18:F18"/>
    <mergeCell ref="A71:A127"/>
    <mergeCell ref="B71:D71"/>
    <mergeCell ref="E71:F71"/>
    <mergeCell ref="B72:D72"/>
    <mergeCell ref="E72:F72"/>
    <mergeCell ref="B73:D73"/>
    <mergeCell ref="E73:F73"/>
    <mergeCell ref="B74:D74"/>
    <mergeCell ref="E74:F74"/>
    <mergeCell ref="C75:D75"/>
    <mergeCell ref="E75:F75"/>
    <mergeCell ref="C76:D76"/>
    <mergeCell ref="E76:F76"/>
    <mergeCell ref="C77:D77"/>
    <mergeCell ref="E77:F77"/>
    <mergeCell ref="C79:D79"/>
    <mergeCell ref="E79:F79"/>
    <mergeCell ref="C80:D80"/>
    <mergeCell ref="E80:F80"/>
    <mergeCell ref="C81:D81"/>
    <mergeCell ref="E81:F81"/>
    <mergeCell ref="C103:D103"/>
    <mergeCell ref="E103:F103"/>
    <mergeCell ref="C83:D83"/>
    <mergeCell ref="E84:F84"/>
    <mergeCell ref="E91:F91"/>
    <mergeCell ref="B104:B110"/>
    <mergeCell ref="B95:B103"/>
    <mergeCell ref="C95:D95"/>
    <mergeCell ref="E95:F95"/>
    <mergeCell ref="C96:D96"/>
    <mergeCell ref="E96:F96"/>
    <mergeCell ref="C97:D97"/>
    <mergeCell ref="E97:F97"/>
    <mergeCell ref="C100:D100"/>
    <mergeCell ref="E100:F100"/>
    <mergeCell ref="C101:D101"/>
    <mergeCell ref="E101:F101"/>
    <mergeCell ref="C98:D98"/>
    <mergeCell ref="E98:F98"/>
    <mergeCell ref="C108:D108"/>
    <mergeCell ref="E108:F108"/>
    <mergeCell ref="C110:D110"/>
    <mergeCell ref="E110:F110"/>
    <mergeCell ref="B88:B94"/>
    <mergeCell ref="C89:D89"/>
    <mergeCell ref="E89:F89"/>
    <mergeCell ref="C90:D90"/>
    <mergeCell ref="E106:F106"/>
    <mergeCell ref="C107:D107"/>
    <mergeCell ref="E107:F107"/>
    <mergeCell ref="C109:D109"/>
    <mergeCell ref="E109:F109"/>
    <mergeCell ref="C92:D92"/>
    <mergeCell ref="E92:F92"/>
    <mergeCell ref="C94:D94"/>
    <mergeCell ref="E94:F94"/>
    <mergeCell ref="E90:F90"/>
    <mergeCell ref="E102:F102"/>
    <mergeCell ref="C102:D102"/>
    <mergeCell ref="B75:B87"/>
    <mergeCell ref="C93:D93"/>
    <mergeCell ref="E93:F93"/>
    <mergeCell ref="E82:F82"/>
    <mergeCell ref="C82:D82"/>
    <mergeCell ref="C91:D91"/>
    <mergeCell ref="E85:F85"/>
    <mergeCell ref="C85:D85"/>
    <mergeCell ref="B118:B123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6:D116"/>
    <mergeCell ref="E116:F116"/>
    <mergeCell ref="C104:D104"/>
    <mergeCell ref="E104:F104"/>
    <mergeCell ref="C105:D105"/>
    <mergeCell ref="E105:F105"/>
    <mergeCell ref="C106:D106"/>
    <mergeCell ref="E125:F125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:F1"/>
    <mergeCell ref="C2:F2"/>
    <mergeCell ref="C3:F3"/>
    <mergeCell ref="C4:F4"/>
    <mergeCell ref="G131:H131"/>
    <mergeCell ref="G132:H132"/>
    <mergeCell ref="G133:H133"/>
    <mergeCell ref="C117:D117"/>
    <mergeCell ref="E117:F117"/>
    <mergeCell ref="B126:D127"/>
    <mergeCell ref="E126:F126"/>
    <mergeCell ref="G126:H126"/>
    <mergeCell ref="E127:F127"/>
    <mergeCell ref="G127:H127"/>
    <mergeCell ref="E78:F78"/>
    <mergeCell ref="C78:D78"/>
    <mergeCell ref="C99:D99"/>
    <mergeCell ref="E99:F99"/>
    <mergeCell ref="C84:D84"/>
    <mergeCell ref="B111:B117"/>
    <mergeCell ref="B124:B125"/>
    <mergeCell ref="C124:D124"/>
    <mergeCell ref="E124:F124"/>
    <mergeCell ref="C125:D1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6582-1318-4E64-AEDF-D4901D08E3F7}">
  <dimension ref="A1:AD133"/>
  <sheetViews>
    <sheetView topLeftCell="B1" zoomScale="103" workbookViewId="0">
      <selection activeCell="D5" sqref="D5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9" width="6.109375" style="1" customWidth="1"/>
    <col min="10" max="10" width="6" style="1" customWidth="1"/>
    <col min="11" max="14" width="6.109375" style="1" customWidth="1"/>
    <col min="15" max="15" width="6" style="1" customWidth="1"/>
    <col min="16" max="16" width="6.109375" style="1" customWidth="1"/>
    <col min="17" max="21" width="6" style="1" customWidth="1"/>
    <col min="22" max="24" width="6.109375" style="1" customWidth="1"/>
    <col min="25" max="25" width="6" style="1" customWidth="1"/>
    <col min="26" max="26" width="6.109375" style="1" customWidth="1"/>
    <col min="27" max="27" width="6" style="1" customWidth="1"/>
    <col min="28" max="28" width="5.88671875" style="1" customWidth="1"/>
    <col min="29" max="29" width="6.109375" style="1" customWidth="1"/>
    <col min="30" max="31" width="6" style="1" customWidth="1"/>
    <col min="32" max="32" width="5" style="1" bestFit="1" customWidth="1"/>
    <col min="33" max="33" width="5.44140625" style="1" bestFit="1" customWidth="1"/>
    <col min="34" max="34" width="4.5546875" style="1" bestFit="1" customWidth="1"/>
    <col min="35" max="16384" width="9.109375" style="1"/>
  </cols>
  <sheetData>
    <row r="1" spans="1:29" ht="24" customHeight="1" x14ac:dyDescent="0.3">
      <c r="A1" s="78" t="s">
        <v>0</v>
      </c>
      <c r="B1" s="78"/>
      <c r="C1" s="74" t="s">
        <v>52</v>
      </c>
      <c r="D1" s="74"/>
      <c r="E1" s="74"/>
      <c r="F1" s="74"/>
      <c r="G1" s="9"/>
      <c r="H1" s="9"/>
      <c r="I1" s="9"/>
      <c r="N1" s="13"/>
      <c r="O1" s="67" t="s">
        <v>1</v>
      </c>
      <c r="P1" s="67"/>
      <c r="Q1" s="67"/>
    </row>
    <row r="2" spans="1:29" ht="21" customHeight="1" x14ac:dyDescent="0.3">
      <c r="A2" s="78" t="s">
        <v>2</v>
      </c>
      <c r="B2" s="78"/>
      <c r="C2" s="75" t="s">
        <v>172</v>
      </c>
      <c r="D2" s="75"/>
      <c r="E2" s="75"/>
      <c r="F2" s="75"/>
      <c r="M2" s="10"/>
      <c r="N2" s="14"/>
      <c r="O2" s="68" t="s">
        <v>4</v>
      </c>
      <c r="P2" s="68"/>
      <c r="Q2" s="68"/>
    </row>
    <row r="3" spans="1:29" ht="22.8" customHeight="1" x14ac:dyDescent="0.3">
      <c r="A3" s="78" t="s">
        <v>5</v>
      </c>
      <c r="B3" s="78"/>
      <c r="C3" s="76" t="s">
        <v>130</v>
      </c>
      <c r="D3" s="76"/>
      <c r="E3" s="76"/>
      <c r="F3" s="76"/>
      <c r="N3" s="15"/>
      <c r="O3" s="68" t="s">
        <v>6</v>
      </c>
      <c r="P3" s="68"/>
      <c r="Q3" s="68"/>
    </row>
    <row r="4" spans="1:29" ht="21.6" customHeight="1" x14ac:dyDescent="0.3">
      <c r="A4" s="78" t="s">
        <v>7</v>
      </c>
      <c r="B4" s="78"/>
      <c r="C4" s="76">
        <v>45973</v>
      </c>
      <c r="D4" s="76"/>
      <c r="E4" s="76"/>
      <c r="F4" s="76"/>
    </row>
    <row r="5" spans="1:29" ht="16.5" customHeight="1" x14ac:dyDescent="0.3"/>
    <row r="6" spans="1:29" x14ac:dyDescent="0.3">
      <c r="B6" s="65" t="s">
        <v>51</v>
      </c>
      <c r="C6" s="65"/>
      <c r="D6" s="65"/>
      <c r="E6" s="65"/>
    </row>
    <row r="7" spans="1:29" x14ac:dyDescent="0.3">
      <c r="B7" s="11" t="s">
        <v>9</v>
      </c>
      <c r="C7" s="11" t="s">
        <v>10</v>
      </c>
      <c r="D7" s="11" t="s">
        <v>11</v>
      </c>
      <c r="E7" s="11" t="s">
        <v>12</v>
      </c>
    </row>
    <row r="8" spans="1:29" x14ac:dyDescent="0.3">
      <c r="B8" s="8">
        <v>1</v>
      </c>
      <c r="C8" s="5" t="s">
        <v>125</v>
      </c>
      <c r="D8" s="5">
        <f ca="1">SUMIF(E16:F63,"*" &amp; TRIM(RIGHT(SUBSTITUTE($C8," ",REPT(" ",50)),50)) &amp; "*",H16:H63) + SUMIF(E16:F63, "All Team",H16:H63)</f>
        <v>115</v>
      </c>
      <c r="E8" s="5">
        <f ca="1">SUMIF(E16:F63,"*" &amp; TRIM(RIGHT(SUBSTITUTE($C8," ",REPT(" ",50)),50)) &amp; "*",H16:H63) + SUMIF(E16:F63, "All Team",H16:H63)</f>
        <v>115</v>
      </c>
    </row>
    <row r="9" spans="1:29" x14ac:dyDescent="0.3">
      <c r="B9" s="8">
        <v>2</v>
      </c>
      <c r="C9" s="5" t="s">
        <v>126</v>
      </c>
      <c r="D9" s="5">
        <f ca="1">SUMIF(E17:F64,"*" &amp; TRIM(RIGHT(SUBSTITUTE($C9," ",REPT(" ",50)),50)) &amp; "*",H17:H64) + SUMIF(E17:F64, "All Team",H17:H64)</f>
        <v>98</v>
      </c>
      <c r="E9" s="5">
        <f t="shared" ref="E9:E12" ca="1" si="0">SUMIF(E17:F64,"*" &amp; TRIM(RIGHT(SUBSTITUTE($C9," ",REPT(" ",50)),50)) &amp; "*",H17:H64) + SUMIF(E17:F64, "All Team",H17:H64)</f>
        <v>98</v>
      </c>
    </row>
    <row r="10" spans="1:29" x14ac:dyDescent="0.3">
      <c r="B10" s="8">
        <v>3</v>
      </c>
      <c r="C10" s="5" t="s">
        <v>127</v>
      </c>
      <c r="D10" s="5">
        <f t="shared" ref="D10:D12" ca="1" si="1">SUMIF(E18:F65,"*" &amp; TRIM(RIGHT(SUBSTITUTE($C10," ",REPT(" ",50)),50)) &amp; "*",H18:H65) + SUMIF(E18:F65, "All Team",H18:H65)</f>
        <v>81</v>
      </c>
      <c r="E10" s="5">
        <f t="shared" ca="1" si="0"/>
        <v>81</v>
      </c>
    </row>
    <row r="11" spans="1:29" x14ac:dyDescent="0.3">
      <c r="B11" s="8">
        <v>4</v>
      </c>
      <c r="C11" s="5" t="s">
        <v>128</v>
      </c>
      <c r="D11" s="5">
        <f t="shared" ca="1" si="1"/>
        <v>76</v>
      </c>
      <c r="E11" s="5">
        <f t="shared" ca="1" si="0"/>
        <v>76</v>
      </c>
    </row>
    <row r="12" spans="1:29" x14ac:dyDescent="0.3">
      <c r="B12" s="8">
        <v>5</v>
      </c>
      <c r="C12" s="5" t="s">
        <v>129</v>
      </c>
      <c r="D12" s="5">
        <f t="shared" ca="1" si="1"/>
        <v>85</v>
      </c>
      <c r="E12" s="5">
        <f t="shared" ca="1" si="0"/>
        <v>85</v>
      </c>
    </row>
    <row r="13" spans="1:29" x14ac:dyDescent="0.3">
      <c r="B13" s="65" t="s">
        <v>13</v>
      </c>
      <c r="C13" s="65"/>
      <c r="D13" s="2">
        <f ca="1">SUM(D8:D12)</f>
        <v>455</v>
      </c>
      <c r="E13" s="2">
        <f ca="1">SUM(E8:E12)</f>
        <v>455</v>
      </c>
    </row>
    <row r="15" spans="1:29" ht="68.400000000000006" customHeight="1" x14ac:dyDescent="0.3">
      <c r="A15" s="17" t="s">
        <v>14</v>
      </c>
      <c r="B15" s="17" t="s">
        <v>15</v>
      </c>
      <c r="C15" s="59" t="s">
        <v>16</v>
      </c>
      <c r="D15" s="59"/>
      <c r="E15" s="59" t="s">
        <v>17</v>
      </c>
      <c r="F15" s="59"/>
      <c r="G15" s="18" t="s">
        <v>11</v>
      </c>
      <c r="H15" s="18" t="s">
        <v>12</v>
      </c>
      <c r="I15" s="19">
        <v>45982</v>
      </c>
      <c r="J15" s="19">
        <v>45983</v>
      </c>
      <c r="K15" s="19">
        <v>45984</v>
      </c>
      <c r="L15" s="19">
        <v>45985</v>
      </c>
      <c r="M15" s="19">
        <v>45986</v>
      </c>
      <c r="N15" s="19">
        <v>45987</v>
      </c>
      <c r="O15" s="19">
        <v>45988</v>
      </c>
      <c r="P15" s="19">
        <v>45989</v>
      </c>
      <c r="Q15" s="19">
        <v>45990</v>
      </c>
      <c r="R15" s="19">
        <v>45991</v>
      </c>
      <c r="S15" s="19">
        <v>45992</v>
      </c>
      <c r="T15" s="19">
        <v>45993</v>
      </c>
      <c r="U15" s="19">
        <v>45994</v>
      </c>
      <c r="V15" s="19">
        <v>45995</v>
      </c>
      <c r="W15" s="19">
        <v>45996</v>
      </c>
      <c r="X15" s="19">
        <v>45997</v>
      </c>
      <c r="Y15" s="19">
        <v>45998</v>
      </c>
      <c r="Z15" s="19">
        <v>45999</v>
      </c>
      <c r="AA15" s="19">
        <v>46000</v>
      </c>
      <c r="AB15" s="19">
        <v>46001</v>
      </c>
      <c r="AC15" s="19">
        <v>46002</v>
      </c>
    </row>
    <row r="16" spans="1:29" x14ac:dyDescent="0.3">
      <c r="A16" s="63" t="s">
        <v>30</v>
      </c>
      <c r="B16" s="33" t="s">
        <v>18</v>
      </c>
      <c r="C16" s="33"/>
      <c r="D16" s="33"/>
      <c r="E16" s="42" t="s">
        <v>34</v>
      </c>
      <c r="F16" s="42"/>
      <c r="G16" s="5"/>
      <c r="H16" s="5">
        <v>4</v>
      </c>
      <c r="I16" s="3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1:29" x14ac:dyDescent="0.3">
      <c r="A17" s="63"/>
      <c r="B17" s="33" t="s">
        <v>42</v>
      </c>
      <c r="C17" s="33"/>
      <c r="D17" s="33"/>
      <c r="E17" s="42" t="s">
        <v>53</v>
      </c>
      <c r="F17" s="42"/>
      <c r="G17" s="5"/>
      <c r="H17" s="5">
        <v>4</v>
      </c>
      <c r="I17" s="3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x14ac:dyDescent="0.3">
      <c r="A18" s="63"/>
      <c r="B18" s="33" t="s">
        <v>20</v>
      </c>
      <c r="C18" s="33"/>
      <c r="D18" s="33"/>
      <c r="E18" s="42" t="s">
        <v>131</v>
      </c>
      <c r="F18" s="42"/>
      <c r="G18" s="5"/>
      <c r="H18" s="5">
        <v>20</v>
      </c>
      <c r="I18" s="5">
        <v>20</v>
      </c>
      <c r="J18" s="5">
        <v>20</v>
      </c>
      <c r="K18" s="5">
        <v>16</v>
      </c>
      <c r="L18" s="5">
        <v>8</v>
      </c>
      <c r="M18" s="5">
        <v>4</v>
      </c>
      <c r="N18" s="3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x14ac:dyDescent="0.3">
      <c r="A19" s="63"/>
      <c r="B19" s="30" t="s">
        <v>46</v>
      </c>
      <c r="C19" s="62"/>
      <c r="D19" s="31"/>
      <c r="E19" s="28" t="s">
        <v>132</v>
      </c>
      <c r="F19" s="29"/>
      <c r="G19" s="5"/>
      <c r="H19" s="5">
        <v>15</v>
      </c>
      <c r="I19" s="5">
        <v>9</v>
      </c>
      <c r="J19" s="5">
        <v>4</v>
      </c>
      <c r="K19" s="3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 x14ac:dyDescent="0.3">
      <c r="A20" s="63"/>
      <c r="B20" s="63" t="s">
        <v>21</v>
      </c>
      <c r="C20" s="33" t="s">
        <v>133</v>
      </c>
      <c r="D20" s="33"/>
      <c r="E20" s="42" t="s">
        <v>60</v>
      </c>
      <c r="F20" s="42"/>
      <c r="G20" s="5"/>
      <c r="H20" s="5">
        <v>4</v>
      </c>
      <c r="I20" s="5">
        <v>4</v>
      </c>
      <c r="J20" s="5">
        <v>4</v>
      </c>
      <c r="K20" s="3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3">
      <c r="A21" s="63"/>
      <c r="B21" s="63"/>
      <c r="C21" s="33" t="s">
        <v>134</v>
      </c>
      <c r="D21" s="33"/>
      <c r="E21" s="42" t="s">
        <v>53</v>
      </c>
      <c r="F21" s="42"/>
      <c r="G21" s="5"/>
      <c r="H21" s="5">
        <v>3</v>
      </c>
      <c r="I21" s="5">
        <v>3</v>
      </c>
      <c r="J21" s="5">
        <v>3</v>
      </c>
      <c r="K21" s="3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3">
      <c r="A22" s="63"/>
      <c r="B22" s="63"/>
      <c r="C22" s="33" t="s">
        <v>135</v>
      </c>
      <c r="D22" s="33"/>
      <c r="E22" s="42" t="s">
        <v>61</v>
      </c>
      <c r="F22" s="42"/>
      <c r="G22" s="5"/>
      <c r="H22" s="5">
        <v>4</v>
      </c>
      <c r="I22" s="5">
        <v>4</v>
      </c>
      <c r="J22" s="5">
        <v>4</v>
      </c>
      <c r="K22" s="5">
        <v>4</v>
      </c>
      <c r="L22" s="3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3">
      <c r="A23" s="63"/>
      <c r="B23" s="63"/>
      <c r="C23" s="30" t="s">
        <v>136</v>
      </c>
      <c r="D23" s="31"/>
      <c r="E23" s="28" t="s">
        <v>59</v>
      </c>
      <c r="F23" s="29"/>
      <c r="G23" s="5"/>
      <c r="H23" s="5">
        <v>3</v>
      </c>
      <c r="I23" s="5">
        <v>3</v>
      </c>
      <c r="J23" s="5">
        <v>3</v>
      </c>
      <c r="K23" s="5">
        <v>3</v>
      </c>
      <c r="L23" s="3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3">
      <c r="A24" s="63"/>
      <c r="B24" s="63"/>
      <c r="C24" s="33" t="s">
        <v>137</v>
      </c>
      <c r="D24" s="33"/>
      <c r="E24" s="42" t="s">
        <v>62</v>
      </c>
      <c r="F24" s="42"/>
      <c r="G24" s="5"/>
      <c r="H24" s="5">
        <v>6</v>
      </c>
      <c r="I24" s="5">
        <v>6</v>
      </c>
      <c r="J24" s="5">
        <v>6</v>
      </c>
      <c r="K24" s="5">
        <v>6</v>
      </c>
      <c r="L24" s="5">
        <v>4</v>
      </c>
      <c r="M24" s="3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29" x14ac:dyDescent="0.3">
      <c r="A25" s="63"/>
      <c r="B25" s="63"/>
      <c r="C25" s="33" t="s">
        <v>138</v>
      </c>
      <c r="D25" s="33"/>
      <c r="E25" s="42" t="s">
        <v>53</v>
      </c>
      <c r="F25" s="42"/>
      <c r="G25" s="5"/>
      <c r="H25" s="5">
        <v>4</v>
      </c>
      <c r="I25" s="5">
        <v>4</v>
      </c>
      <c r="J25" s="5">
        <v>4</v>
      </c>
      <c r="K25" s="5">
        <v>4</v>
      </c>
      <c r="L25" s="5">
        <v>4</v>
      </c>
      <c r="M25" s="3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3">
      <c r="A26" s="63"/>
      <c r="B26" s="63"/>
      <c r="C26" s="33" t="s">
        <v>44</v>
      </c>
      <c r="D26" s="33"/>
      <c r="E26" s="42" t="s">
        <v>62</v>
      </c>
      <c r="F26" s="42"/>
      <c r="G26" s="5"/>
      <c r="H26" s="5">
        <v>4</v>
      </c>
      <c r="I26" s="5">
        <v>4</v>
      </c>
      <c r="J26" s="5">
        <v>4</v>
      </c>
      <c r="K26" s="5">
        <v>4</v>
      </c>
      <c r="L26" s="5">
        <v>4</v>
      </c>
      <c r="M26" s="5">
        <v>4</v>
      </c>
      <c r="N26" s="3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ht="16.8" customHeight="1" x14ac:dyDescent="0.3">
      <c r="A27" s="63"/>
      <c r="B27" s="63"/>
      <c r="C27" s="30" t="s">
        <v>139</v>
      </c>
      <c r="D27" s="31"/>
      <c r="E27" s="28" t="s">
        <v>61</v>
      </c>
      <c r="F27" s="29"/>
      <c r="G27" s="5"/>
      <c r="H27" s="5">
        <v>3</v>
      </c>
      <c r="I27" s="5">
        <v>3</v>
      </c>
      <c r="J27" s="5">
        <v>3</v>
      </c>
      <c r="K27" s="5">
        <v>3</v>
      </c>
      <c r="L27" s="5">
        <v>3</v>
      </c>
      <c r="M27" s="5">
        <v>3</v>
      </c>
      <c r="N27" s="5">
        <v>3</v>
      </c>
      <c r="O27" s="3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ht="16.8" customHeight="1" x14ac:dyDescent="0.3">
      <c r="A28" s="63"/>
      <c r="B28" s="63"/>
      <c r="C28" s="30" t="s">
        <v>140</v>
      </c>
      <c r="D28" s="31"/>
      <c r="E28" s="28" t="s">
        <v>60</v>
      </c>
      <c r="F28" s="29"/>
      <c r="G28" s="5"/>
      <c r="H28" s="5">
        <v>2</v>
      </c>
      <c r="I28" s="5">
        <v>2</v>
      </c>
      <c r="J28" s="5">
        <v>2</v>
      </c>
      <c r="K28" s="5">
        <v>2</v>
      </c>
      <c r="L28" s="5">
        <v>2</v>
      </c>
      <c r="M28" s="5">
        <v>2</v>
      </c>
      <c r="N28" s="5">
        <v>2</v>
      </c>
      <c r="O28" s="3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ht="16.8" customHeight="1" x14ac:dyDescent="0.3">
      <c r="A29" s="63"/>
      <c r="B29" s="63"/>
      <c r="C29" s="30" t="s">
        <v>141</v>
      </c>
      <c r="D29" s="31"/>
      <c r="E29" s="28" t="s">
        <v>59</v>
      </c>
      <c r="F29" s="29"/>
      <c r="G29" s="5"/>
      <c r="H29" s="5">
        <v>4</v>
      </c>
      <c r="I29" s="5">
        <v>4</v>
      </c>
      <c r="J29" s="5">
        <v>4</v>
      </c>
      <c r="K29" s="5">
        <v>4</v>
      </c>
      <c r="L29" s="5">
        <v>4</v>
      </c>
      <c r="M29" s="5">
        <v>4</v>
      </c>
      <c r="N29" s="5">
        <v>4</v>
      </c>
      <c r="O29" s="5">
        <v>4</v>
      </c>
      <c r="P29" s="3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3">
      <c r="A30" s="63"/>
      <c r="B30" s="63"/>
      <c r="C30" s="30" t="s">
        <v>45</v>
      </c>
      <c r="D30" s="31"/>
      <c r="E30" s="28" t="s">
        <v>34</v>
      </c>
      <c r="F30" s="29"/>
      <c r="G30" s="5"/>
      <c r="H30" s="5">
        <v>8</v>
      </c>
      <c r="I30" s="5">
        <v>8</v>
      </c>
      <c r="J30" s="5">
        <v>8</v>
      </c>
      <c r="K30" s="5">
        <v>8</v>
      </c>
      <c r="L30" s="5">
        <v>8</v>
      </c>
      <c r="M30" s="5">
        <v>8</v>
      </c>
      <c r="N30" s="5">
        <v>6</v>
      </c>
      <c r="O30" s="5">
        <v>6</v>
      </c>
      <c r="P30" s="5">
        <v>4</v>
      </c>
      <c r="Q30" s="3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3">
      <c r="A31" s="63"/>
      <c r="B31" s="63" t="s">
        <v>22</v>
      </c>
      <c r="C31" s="33" t="s">
        <v>142</v>
      </c>
      <c r="D31" s="33"/>
      <c r="E31" s="42" t="s">
        <v>61</v>
      </c>
      <c r="F31" s="42"/>
      <c r="G31" s="5"/>
      <c r="H31" s="5">
        <v>6</v>
      </c>
      <c r="I31" s="5">
        <v>6</v>
      </c>
      <c r="J31" s="5">
        <v>6</v>
      </c>
      <c r="K31" s="5">
        <v>6</v>
      </c>
      <c r="L31" s="5">
        <v>6</v>
      </c>
      <c r="M31" s="5">
        <v>6</v>
      </c>
      <c r="N31" s="5">
        <v>6</v>
      </c>
      <c r="O31" s="5">
        <v>6</v>
      </c>
      <c r="P31" s="5">
        <v>6</v>
      </c>
      <c r="Q31" s="5">
        <v>6</v>
      </c>
      <c r="R31" s="5">
        <v>3</v>
      </c>
      <c r="S31" s="3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3">
      <c r="A32" s="63"/>
      <c r="B32" s="63"/>
      <c r="C32" s="33" t="s">
        <v>143</v>
      </c>
      <c r="D32" s="33"/>
      <c r="E32" s="42" t="s">
        <v>59</v>
      </c>
      <c r="F32" s="42"/>
      <c r="G32" s="5"/>
      <c r="H32" s="5">
        <v>3</v>
      </c>
      <c r="I32" s="5">
        <v>3</v>
      </c>
      <c r="J32" s="5">
        <v>3</v>
      </c>
      <c r="K32" s="5">
        <v>3</v>
      </c>
      <c r="L32" s="5">
        <v>3</v>
      </c>
      <c r="M32" s="5">
        <v>3</v>
      </c>
      <c r="N32" s="5">
        <v>3</v>
      </c>
      <c r="O32" s="5">
        <v>3</v>
      </c>
      <c r="P32" s="5">
        <v>3</v>
      </c>
      <c r="Q32" s="5">
        <v>3</v>
      </c>
      <c r="R32" s="3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3">
      <c r="A33" s="63"/>
      <c r="B33" s="63"/>
      <c r="C33" s="33" t="s">
        <v>144</v>
      </c>
      <c r="D33" s="33"/>
      <c r="E33" s="42" t="s">
        <v>59</v>
      </c>
      <c r="F33" s="42"/>
      <c r="G33" s="5"/>
      <c r="H33" s="5">
        <v>3</v>
      </c>
      <c r="I33" s="5">
        <v>3</v>
      </c>
      <c r="J33" s="5">
        <v>3</v>
      </c>
      <c r="K33" s="5">
        <v>3</v>
      </c>
      <c r="L33" s="5">
        <v>3</v>
      </c>
      <c r="M33" s="5">
        <v>3</v>
      </c>
      <c r="N33" s="5">
        <v>3</v>
      </c>
      <c r="O33" s="5">
        <v>3</v>
      </c>
      <c r="P33" s="5">
        <v>3</v>
      </c>
      <c r="Q33" s="5">
        <v>3</v>
      </c>
      <c r="R33" s="3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3">
      <c r="A34" s="63"/>
      <c r="B34" s="63"/>
      <c r="C34" s="33" t="s">
        <v>145</v>
      </c>
      <c r="D34" s="33"/>
      <c r="E34" s="42" t="s">
        <v>53</v>
      </c>
      <c r="F34" s="42"/>
      <c r="G34" s="5"/>
      <c r="H34" s="5">
        <v>3</v>
      </c>
      <c r="I34" s="5">
        <v>3</v>
      </c>
      <c r="J34" s="5">
        <v>3</v>
      </c>
      <c r="K34" s="5">
        <v>3</v>
      </c>
      <c r="L34" s="5">
        <v>3</v>
      </c>
      <c r="M34" s="5">
        <v>3</v>
      </c>
      <c r="N34" s="5">
        <v>3</v>
      </c>
      <c r="O34" s="5">
        <v>3</v>
      </c>
      <c r="P34" s="5">
        <v>3</v>
      </c>
      <c r="Q34" s="5">
        <v>3</v>
      </c>
      <c r="R34" s="3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3">
      <c r="A35" s="63"/>
      <c r="B35" s="63"/>
      <c r="C35" s="33" t="s">
        <v>146</v>
      </c>
      <c r="D35" s="33"/>
      <c r="E35" s="42" t="s">
        <v>60</v>
      </c>
      <c r="F35" s="42"/>
      <c r="G35" s="5"/>
      <c r="H35" s="5">
        <v>2</v>
      </c>
      <c r="I35" s="5">
        <v>2</v>
      </c>
      <c r="J35" s="5">
        <v>2</v>
      </c>
      <c r="K35" s="5">
        <v>2</v>
      </c>
      <c r="L35" s="5">
        <v>2</v>
      </c>
      <c r="M35" s="5">
        <v>2</v>
      </c>
      <c r="N35" s="5">
        <v>2</v>
      </c>
      <c r="O35" s="5">
        <v>2</v>
      </c>
      <c r="P35" s="5">
        <v>2</v>
      </c>
      <c r="Q35" s="5">
        <v>2</v>
      </c>
      <c r="R35" s="3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3">
      <c r="A36" s="63"/>
      <c r="B36" s="63"/>
      <c r="C36" s="34" t="s">
        <v>147</v>
      </c>
      <c r="D36" s="35"/>
      <c r="E36" s="42" t="s">
        <v>62</v>
      </c>
      <c r="F36" s="42"/>
      <c r="G36" s="5"/>
      <c r="H36" s="5">
        <v>3</v>
      </c>
      <c r="I36" s="5">
        <v>3</v>
      </c>
      <c r="J36" s="5">
        <v>3</v>
      </c>
      <c r="K36" s="5">
        <v>3</v>
      </c>
      <c r="L36" s="5">
        <v>3</v>
      </c>
      <c r="M36" s="5">
        <v>3</v>
      </c>
      <c r="N36" s="5">
        <v>3</v>
      </c>
      <c r="O36" s="5">
        <v>3</v>
      </c>
      <c r="P36" s="5">
        <v>3</v>
      </c>
      <c r="Q36" s="5">
        <v>3</v>
      </c>
      <c r="R36" s="5">
        <v>3</v>
      </c>
      <c r="S36" s="3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x14ac:dyDescent="0.3">
      <c r="A37" s="63"/>
      <c r="B37" s="43" t="s">
        <v>23</v>
      </c>
      <c r="C37" s="33" t="s">
        <v>148</v>
      </c>
      <c r="D37" s="33"/>
      <c r="E37" s="42" t="s">
        <v>53</v>
      </c>
      <c r="F37" s="42"/>
      <c r="G37" s="5"/>
      <c r="H37" s="5">
        <v>10</v>
      </c>
      <c r="I37" s="5">
        <v>10</v>
      </c>
      <c r="J37" s="5">
        <v>10</v>
      </c>
      <c r="K37" s="5">
        <v>10</v>
      </c>
      <c r="L37" s="5">
        <v>10</v>
      </c>
      <c r="M37" s="5">
        <v>10</v>
      </c>
      <c r="N37" s="5">
        <v>10</v>
      </c>
      <c r="O37" s="5">
        <v>10</v>
      </c>
      <c r="P37" s="5">
        <v>8</v>
      </c>
      <c r="Q37" s="5">
        <v>8</v>
      </c>
      <c r="R37" s="5">
        <v>4</v>
      </c>
      <c r="S37" s="5">
        <v>4</v>
      </c>
      <c r="T37" s="3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x14ac:dyDescent="0.3">
      <c r="A38" s="63"/>
      <c r="B38" s="53"/>
      <c r="C38" s="33" t="s">
        <v>149</v>
      </c>
      <c r="D38" s="33"/>
      <c r="E38" s="42" t="s">
        <v>62</v>
      </c>
      <c r="F38" s="42"/>
      <c r="G38" s="5"/>
      <c r="H38" s="5">
        <v>10</v>
      </c>
      <c r="I38" s="5">
        <v>10</v>
      </c>
      <c r="J38" s="5">
        <v>10</v>
      </c>
      <c r="K38" s="5">
        <v>10</v>
      </c>
      <c r="L38" s="5">
        <v>10</v>
      </c>
      <c r="M38" s="5">
        <v>10</v>
      </c>
      <c r="N38" s="5">
        <v>10</v>
      </c>
      <c r="O38" s="5">
        <v>10</v>
      </c>
      <c r="P38" s="5">
        <v>10</v>
      </c>
      <c r="Q38" s="5">
        <v>10</v>
      </c>
      <c r="R38" s="5">
        <v>8</v>
      </c>
      <c r="S38" s="5">
        <v>4</v>
      </c>
      <c r="T38" s="3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spans="1:29" x14ac:dyDescent="0.3">
      <c r="A39" s="63"/>
      <c r="B39" s="53"/>
      <c r="C39" s="33" t="s">
        <v>150</v>
      </c>
      <c r="D39" s="33"/>
      <c r="E39" s="28" t="s">
        <v>59</v>
      </c>
      <c r="F39" s="29"/>
      <c r="G39" s="5"/>
      <c r="H39" s="5">
        <v>8</v>
      </c>
      <c r="I39" s="5">
        <v>8</v>
      </c>
      <c r="J39" s="5">
        <v>8</v>
      </c>
      <c r="K39" s="5">
        <v>8</v>
      </c>
      <c r="L39" s="5">
        <v>8</v>
      </c>
      <c r="M39" s="5">
        <v>8</v>
      </c>
      <c r="N39" s="5">
        <v>8</v>
      </c>
      <c r="O39" s="5">
        <v>8</v>
      </c>
      <c r="P39" s="5">
        <v>8</v>
      </c>
      <c r="Q39" s="5">
        <v>8</v>
      </c>
      <c r="R39" s="5">
        <v>6</v>
      </c>
      <c r="S39" s="5">
        <v>4</v>
      </c>
      <c r="T39" s="5">
        <v>2</v>
      </c>
      <c r="U39" s="3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3">
      <c r="A40" s="63"/>
      <c r="B40" s="53"/>
      <c r="C40" s="33" t="s">
        <v>151</v>
      </c>
      <c r="D40" s="33"/>
      <c r="E40" s="28" t="s">
        <v>60</v>
      </c>
      <c r="F40" s="29"/>
      <c r="G40" s="5"/>
      <c r="H40" s="5">
        <v>8</v>
      </c>
      <c r="I40" s="5">
        <v>8</v>
      </c>
      <c r="J40" s="5">
        <v>8</v>
      </c>
      <c r="K40" s="5">
        <v>8</v>
      </c>
      <c r="L40" s="5">
        <v>8</v>
      </c>
      <c r="M40" s="5">
        <v>8</v>
      </c>
      <c r="N40" s="5">
        <v>8</v>
      </c>
      <c r="O40" s="5">
        <v>8</v>
      </c>
      <c r="P40" s="5">
        <v>8</v>
      </c>
      <c r="Q40" s="5">
        <v>8</v>
      </c>
      <c r="R40" s="5">
        <v>6</v>
      </c>
      <c r="S40" s="5">
        <v>4</v>
      </c>
      <c r="T40" s="5">
        <v>2</v>
      </c>
      <c r="U40" s="3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3">
      <c r="A41" s="63"/>
      <c r="B41" s="53"/>
      <c r="C41" s="33" t="s">
        <v>152</v>
      </c>
      <c r="D41" s="33"/>
      <c r="E41" s="28" t="s">
        <v>61</v>
      </c>
      <c r="F41" s="29"/>
      <c r="G41" s="5"/>
      <c r="H41" s="5">
        <v>12</v>
      </c>
      <c r="I41" s="5">
        <v>12</v>
      </c>
      <c r="J41" s="5">
        <v>12</v>
      </c>
      <c r="K41" s="5">
        <v>12</v>
      </c>
      <c r="L41" s="5">
        <v>12</v>
      </c>
      <c r="M41" s="5">
        <v>12</v>
      </c>
      <c r="N41" s="5">
        <v>12</v>
      </c>
      <c r="O41" s="5">
        <v>12</v>
      </c>
      <c r="P41" s="5">
        <v>12</v>
      </c>
      <c r="Q41" s="5">
        <v>12</v>
      </c>
      <c r="R41" s="5">
        <v>12</v>
      </c>
      <c r="S41" s="5">
        <v>12</v>
      </c>
      <c r="T41" s="5">
        <v>12</v>
      </c>
      <c r="U41" s="5">
        <v>8</v>
      </c>
      <c r="V41" s="5">
        <v>4</v>
      </c>
      <c r="W41" s="3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x14ac:dyDescent="0.3">
      <c r="A42" s="63"/>
      <c r="B42" s="53"/>
      <c r="C42" s="33" t="s">
        <v>153</v>
      </c>
      <c r="D42" s="33"/>
      <c r="E42" s="42" t="s">
        <v>53</v>
      </c>
      <c r="F42" s="42"/>
      <c r="G42" s="5"/>
      <c r="H42" s="5">
        <v>12</v>
      </c>
      <c r="I42" s="5">
        <v>12</v>
      </c>
      <c r="J42" s="5">
        <v>12</v>
      </c>
      <c r="K42" s="5">
        <v>12</v>
      </c>
      <c r="L42" s="5">
        <v>12</v>
      </c>
      <c r="M42" s="5">
        <v>12</v>
      </c>
      <c r="N42" s="5">
        <v>12</v>
      </c>
      <c r="O42" s="5">
        <v>12</v>
      </c>
      <c r="P42" s="5">
        <v>12</v>
      </c>
      <c r="Q42" s="5">
        <v>12</v>
      </c>
      <c r="R42" s="5">
        <v>12</v>
      </c>
      <c r="S42" s="5">
        <v>12</v>
      </c>
      <c r="T42" s="5">
        <v>12</v>
      </c>
      <c r="U42" s="5">
        <v>8</v>
      </c>
      <c r="V42" s="5">
        <v>4</v>
      </c>
      <c r="W42" s="3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3">
      <c r="A43" s="63"/>
      <c r="B43" s="44"/>
      <c r="C43" s="33" t="s">
        <v>32</v>
      </c>
      <c r="D43" s="33"/>
      <c r="E43" s="42" t="s">
        <v>34</v>
      </c>
      <c r="F43" s="42"/>
      <c r="G43" s="5"/>
      <c r="H43" s="5">
        <v>20</v>
      </c>
      <c r="I43" s="5">
        <v>20</v>
      </c>
      <c r="J43" s="5">
        <v>20</v>
      </c>
      <c r="K43" s="5">
        <v>20</v>
      </c>
      <c r="L43" s="5">
        <v>20</v>
      </c>
      <c r="M43" s="5">
        <v>20</v>
      </c>
      <c r="N43" s="5">
        <v>20</v>
      </c>
      <c r="O43" s="5">
        <v>20</v>
      </c>
      <c r="P43" s="5">
        <v>20</v>
      </c>
      <c r="Q43" s="5">
        <v>20</v>
      </c>
      <c r="R43" s="5">
        <v>20</v>
      </c>
      <c r="S43" s="5">
        <v>20</v>
      </c>
      <c r="T43" s="5">
        <v>16</v>
      </c>
      <c r="U43" s="5">
        <v>12</v>
      </c>
      <c r="V43" s="5">
        <v>8</v>
      </c>
      <c r="W43" s="5">
        <v>4</v>
      </c>
      <c r="X43" s="3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3">
      <c r="A44" s="63"/>
      <c r="B44" s="43" t="s">
        <v>24</v>
      </c>
      <c r="C44" s="33" t="s">
        <v>154</v>
      </c>
      <c r="D44" s="33"/>
      <c r="E44" s="42" t="s">
        <v>61</v>
      </c>
      <c r="F44" s="42"/>
      <c r="G44" s="5"/>
      <c r="H44" s="5">
        <v>4</v>
      </c>
      <c r="I44" s="5">
        <v>4</v>
      </c>
      <c r="J44" s="5">
        <v>4</v>
      </c>
      <c r="K44" s="5">
        <v>4</v>
      </c>
      <c r="L44" s="5">
        <v>4</v>
      </c>
      <c r="M44" s="5">
        <v>4</v>
      </c>
      <c r="N44" s="5">
        <v>4</v>
      </c>
      <c r="O44" s="5">
        <v>4</v>
      </c>
      <c r="P44" s="5">
        <v>4</v>
      </c>
      <c r="Q44" s="5">
        <v>4</v>
      </c>
      <c r="R44" s="5">
        <v>4</v>
      </c>
      <c r="S44" s="5">
        <v>4</v>
      </c>
      <c r="T44" s="5">
        <v>4</v>
      </c>
      <c r="U44" s="5">
        <v>4</v>
      </c>
      <c r="V44" s="5">
        <v>4</v>
      </c>
      <c r="W44" s="5">
        <v>4</v>
      </c>
      <c r="X44" s="5">
        <v>4</v>
      </c>
      <c r="Y44" s="5">
        <v>1</v>
      </c>
      <c r="Z44" s="3">
        <v>0</v>
      </c>
      <c r="AA44" s="5">
        <v>0</v>
      </c>
      <c r="AB44" s="5">
        <v>0</v>
      </c>
      <c r="AC44" s="5">
        <v>0</v>
      </c>
    </row>
    <row r="45" spans="1:29" x14ac:dyDescent="0.3">
      <c r="A45" s="63"/>
      <c r="B45" s="53"/>
      <c r="C45" s="33" t="s">
        <v>155</v>
      </c>
      <c r="D45" s="33"/>
      <c r="E45" s="42" t="s">
        <v>59</v>
      </c>
      <c r="F45" s="42"/>
      <c r="G45" s="5"/>
      <c r="H45" s="5">
        <v>2</v>
      </c>
      <c r="I45" s="5">
        <v>2</v>
      </c>
      <c r="J45" s="5">
        <v>2</v>
      </c>
      <c r="K45" s="5">
        <v>2</v>
      </c>
      <c r="L45" s="5">
        <v>2</v>
      </c>
      <c r="M45" s="5">
        <v>2</v>
      </c>
      <c r="N45" s="5">
        <v>2</v>
      </c>
      <c r="O45" s="5">
        <v>2</v>
      </c>
      <c r="P45" s="5">
        <v>2</v>
      </c>
      <c r="Q45" s="5">
        <v>2</v>
      </c>
      <c r="R45" s="5">
        <v>2</v>
      </c>
      <c r="S45" s="5">
        <v>2</v>
      </c>
      <c r="T45" s="5">
        <v>2</v>
      </c>
      <c r="U45" s="5">
        <v>2</v>
      </c>
      <c r="V45" s="5">
        <v>2</v>
      </c>
      <c r="W45" s="5">
        <v>2</v>
      </c>
      <c r="X45" s="5">
        <v>2</v>
      </c>
      <c r="Y45" s="5">
        <v>2</v>
      </c>
      <c r="Z45" s="3">
        <v>0</v>
      </c>
      <c r="AA45" s="5">
        <v>0</v>
      </c>
      <c r="AB45" s="5">
        <v>0</v>
      </c>
      <c r="AC45" s="5">
        <v>0</v>
      </c>
    </row>
    <row r="46" spans="1:29" x14ac:dyDescent="0.3">
      <c r="A46" s="63"/>
      <c r="B46" s="53"/>
      <c r="C46" s="33" t="s">
        <v>156</v>
      </c>
      <c r="D46" s="33"/>
      <c r="E46" s="42" t="s">
        <v>59</v>
      </c>
      <c r="F46" s="42"/>
      <c r="G46" s="5"/>
      <c r="H46" s="5">
        <v>2</v>
      </c>
      <c r="I46" s="5">
        <v>2</v>
      </c>
      <c r="J46" s="5">
        <v>2</v>
      </c>
      <c r="K46" s="5">
        <v>2</v>
      </c>
      <c r="L46" s="5">
        <v>2</v>
      </c>
      <c r="M46" s="5">
        <v>2</v>
      </c>
      <c r="N46" s="5">
        <v>2</v>
      </c>
      <c r="O46" s="5">
        <v>2</v>
      </c>
      <c r="P46" s="5">
        <v>2</v>
      </c>
      <c r="Q46" s="5">
        <v>2</v>
      </c>
      <c r="R46" s="5">
        <v>2</v>
      </c>
      <c r="S46" s="5">
        <v>2</v>
      </c>
      <c r="T46" s="5">
        <v>2</v>
      </c>
      <c r="U46" s="5">
        <v>2</v>
      </c>
      <c r="V46" s="5">
        <v>2</v>
      </c>
      <c r="W46" s="5">
        <v>2</v>
      </c>
      <c r="X46" s="5">
        <v>2</v>
      </c>
      <c r="Y46" s="5">
        <v>2</v>
      </c>
      <c r="Z46" s="3">
        <v>0</v>
      </c>
      <c r="AA46" s="5">
        <v>0</v>
      </c>
      <c r="AB46" s="5">
        <v>0</v>
      </c>
      <c r="AC46" s="5">
        <v>0</v>
      </c>
    </row>
    <row r="47" spans="1:29" x14ac:dyDescent="0.3">
      <c r="A47" s="63"/>
      <c r="B47" s="53"/>
      <c r="C47" s="33" t="s">
        <v>157</v>
      </c>
      <c r="D47" s="33"/>
      <c r="E47" s="42" t="s">
        <v>53</v>
      </c>
      <c r="F47" s="42"/>
      <c r="G47" s="5"/>
      <c r="H47" s="5">
        <v>4</v>
      </c>
      <c r="I47" s="5">
        <v>4</v>
      </c>
      <c r="J47" s="5">
        <v>4</v>
      </c>
      <c r="K47" s="5">
        <v>4</v>
      </c>
      <c r="L47" s="5">
        <v>4</v>
      </c>
      <c r="M47" s="5">
        <v>4</v>
      </c>
      <c r="N47" s="5">
        <v>4</v>
      </c>
      <c r="O47" s="5">
        <v>4</v>
      </c>
      <c r="P47" s="5">
        <v>4</v>
      </c>
      <c r="Q47" s="5">
        <v>4</v>
      </c>
      <c r="R47" s="5">
        <v>4</v>
      </c>
      <c r="S47" s="5">
        <v>4</v>
      </c>
      <c r="T47" s="5">
        <v>4</v>
      </c>
      <c r="U47" s="5">
        <v>4</v>
      </c>
      <c r="V47" s="5">
        <v>4</v>
      </c>
      <c r="W47" s="5">
        <v>3</v>
      </c>
      <c r="X47" s="5">
        <v>2</v>
      </c>
      <c r="Y47" s="5">
        <v>2</v>
      </c>
      <c r="Z47" s="3">
        <v>0</v>
      </c>
      <c r="AA47" s="5">
        <v>0</v>
      </c>
      <c r="AB47" s="5">
        <v>0</v>
      </c>
      <c r="AC47" s="5">
        <v>0</v>
      </c>
    </row>
    <row r="48" spans="1:29" x14ac:dyDescent="0.3">
      <c r="A48" s="63"/>
      <c r="B48" s="53"/>
      <c r="C48" s="33" t="s">
        <v>158</v>
      </c>
      <c r="D48" s="33"/>
      <c r="E48" s="42" t="s">
        <v>60</v>
      </c>
      <c r="F48" s="42"/>
      <c r="G48" s="5"/>
      <c r="H48" s="5">
        <v>4</v>
      </c>
      <c r="I48" s="5">
        <v>4</v>
      </c>
      <c r="J48" s="5">
        <v>4</v>
      </c>
      <c r="K48" s="5">
        <v>4</v>
      </c>
      <c r="L48" s="5">
        <v>4</v>
      </c>
      <c r="M48" s="5">
        <v>4</v>
      </c>
      <c r="N48" s="5">
        <v>4</v>
      </c>
      <c r="O48" s="5">
        <v>4</v>
      </c>
      <c r="P48" s="5">
        <v>4</v>
      </c>
      <c r="Q48" s="5">
        <v>4</v>
      </c>
      <c r="R48" s="5">
        <v>4</v>
      </c>
      <c r="S48" s="5">
        <v>4</v>
      </c>
      <c r="T48" s="5">
        <v>4</v>
      </c>
      <c r="U48" s="5">
        <v>4</v>
      </c>
      <c r="V48" s="5">
        <v>4</v>
      </c>
      <c r="W48" s="5">
        <v>3</v>
      </c>
      <c r="X48" s="5">
        <v>2</v>
      </c>
      <c r="Y48" s="5">
        <v>2</v>
      </c>
      <c r="Z48" s="3">
        <v>0</v>
      </c>
      <c r="AA48" s="5">
        <v>0</v>
      </c>
      <c r="AB48" s="5">
        <v>0</v>
      </c>
      <c r="AC48" s="5">
        <v>0</v>
      </c>
    </row>
    <row r="49" spans="1:29" x14ac:dyDescent="0.3">
      <c r="A49" s="63"/>
      <c r="B49" s="53"/>
      <c r="C49" s="34" t="s">
        <v>159</v>
      </c>
      <c r="D49" s="35"/>
      <c r="E49" s="42" t="s">
        <v>62</v>
      </c>
      <c r="F49" s="42"/>
      <c r="G49" s="5"/>
      <c r="H49" s="5">
        <v>4</v>
      </c>
      <c r="I49" s="5">
        <v>4</v>
      </c>
      <c r="J49" s="5">
        <v>4</v>
      </c>
      <c r="K49" s="5">
        <v>4</v>
      </c>
      <c r="L49" s="5">
        <v>4</v>
      </c>
      <c r="M49" s="5">
        <v>4</v>
      </c>
      <c r="N49" s="5">
        <v>4</v>
      </c>
      <c r="O49" s="5">
        <v>4</v>
      </c>
      <c r="P49" s="5">
        <v>4</v>
      </c>
      <c r="Q49" s="5">
        <v>4</v>
      </c>
      <c r="R49" s="5">
        <v>4</v>
      </c>
      <c r="S49" s="5">
        <v>4</v>
      </c>
      <c r="T49" s="5">
        <v>4</v>
      </c>
      <c r="U49" s="5">
        <v>4</v>
      </c>
      <c r="V49" s="5">
        <v>4</v>
      </c>
      <c r="W49" s="5">
        <v>3</v>
      </c>
      <c r="X49" s="5">
        <v>2</v>
      </c>
      <c r="Y49" s="5">
        <v>2</v>
      </c>
      <c r="Z49" s="3">
        <v>0</v>
      </c>
      <c r="AA49" s="5">
        <v>0</v>
      </c>
      <c r="AB49" s="5">
        <v>0</v>
      </c>
      <c r="AC49" s="5">
        <v>0</v>
      </c>
    </row>
    <row r="50" spans="1:29" x14ac:dyDescent="0.3">
      <c r="A50" s="63"/>
      <c r="B50" s="43" t="s">
        <v>25</v>
      </c>
      <c r="C50" s="33" t="s">
        <v>160</v>
      </c>
      <c r="D50" s="33"/>
      <c r="E50" s="42" t="s">
        <v>53</v>
      </c>
      <c r="F50" s="42"/>
      <c r="G50" s="5"/>
      <c r="H50" s="5">
        <v>2</v>
      </c>
      <c r="I50" s="5">
        <v>2</v>
      </c>
      <c r="J50" s="5">
        <v>2</v>
      </c>
      <c r="K50" s="5">
        <v>2</v>
      </c>
      <c r="L50" s="5">
        <v>2</v>
      </c>
      <c r="M50" s="5">
        <v>2</v>
      </c>
      <c r="N50" s="5">
        <v>2</v>
      </c>
      <c r="O50" s="5">
        <v>2</v>
      </c>
      <c r="P50" s="5">
        <v>2</v>
      </c>
      <c r="Q50" s="5">
        <v>2</v>
      </c>
      <c r="R50" s="5">
        <v>2</v>
      </c>
      <c r="S50" s="5">
        <v>2</v>
      </c>
      <c r="T50" s="5">
        <v>2</v>
      </c>
      <c r="U50" s="5">
        <v>2</v>
      </c>
      <c r="V50" s="5">
        <v>2</v>
      </c>
      <c r="W50" s="5">
        <v>2</v>
      </c>
      <c r="X50" s="5">
        <v>2</v>
      </c>
      <c r="Y50" s="5">
        <v>2</v>
      </c>
      <c r="Z50" s="5">
        <v>2</v>
      </c>
      <c r="AA50" s="3">
        <v>0</v>
      </c>
      <c r="AB50" s="5">
        <v>0</v>
      </c>
      <c r="AC50" s="5">
        <v>0</v>
      </c>
    </row>
    <row r="51" spans="1:29" x14ac:dyDescent="0.3">
      <c r="A51" s="63"/>
      <c r="B51" s="53"/>
      <c r="C51" s="33" t="s">
        <v>161</v>
      </c>
      <c r="D51" s="33"/>
      <c r="E51" s="42" t="s">
        <v>60</v>
      </c>
      <c r="F51" s="42"/>
      <c r="G51" s="5"/>
      <c r="H51" s="5">
        <v>4</v>
      </c>
      <c r="I51" s="5">
        <v>4</v>
      </c>
      <c r="J51" s="5">
        <v>4</v>
      </c>
      <c r="K51" s="5">
        <v>4</v>
      </c>
      <c r="L51" s="5">
        <v>4</v>
      </c>
      <c r="M51" s="5">
        <v>4</v>
      </c>
      <c r="N51" s="5">
        <v>4</v>
      </c>
      <c r="O51" s="5">
        <v>4</v>
      </c>
      <c r="P51" s="5">
        <v>4</v>
      </c>
      <c r="Q51" s="5">
        <v>4</v>
      </c>
      <c r="R51" s="5">
        <v>4</v>
      </c>
      <c r="S51" s="5">
        <v>4</v>
      </c>
      <c r="T51" s="5">
        <v>4</v>
      </c>
      <c r="U51" s="5">
        <v>4</v>
      </c>
      <c r="V51" s="5">
        <v>4</v>
      </c>
      <c r="W51" s="5">
        <v>4</v>
      </c>
      <c r="X51" s="5">
        <v>3</v>
      </c>
      <c r="Y51" s="5">
        <v>2</v>
      </c>
      <c r="Z51" s="5">
        <v>2</v>
      </c>
      <c r="AA51" s="3">
        <v>0</v>
      </c>
      <c r="AB51" s="5">
        <v>0</v>
      </c>
      <c r="AC51" s="5">
        <v>0</v>
      </c>
    </row>
    <row r="52" spans="1:29" x14ac:dyDescent="0.3">
      <c r="A52" s="63"/>
      <c r="B52" s="53"/>
      <c r="C52" s="33" t="s">
        <v>162</v>
      </c>
      <c r="D52" s="33"/>
      <c r="E52" s="42" t="s">
        <v>53</v>
      </c>
      <c r="F52" s="42"/>
      <c r="G52" s="5"/>
      <c r="H52" s="5">
        <v>2</v>
      </c>
      <c r="I52" s="5">
        <v>2</v>
      </c>
      <c r="J52" s="5">
        <v>2</v>
      </c>
      <c r="K52" s="5">
        <v>2</v>
      </c>
      <c r="L52" s="5">
        <v>2</v>
      </c>
      <c r="M52" s="5">
        <v>2</v>
      </c>
      <c r="N52" s="5">
        <v>2</v>
      </c>
      <c r="O52" s="5">
        <v>2</v>
      </c>
      <c r="P52" s="5">
        <v>2</v>
      </c>
      <c r="Q52" s="5">
        <v>2</v>
      </c>
      <c r="R52" s="5">
        <v>2</v>
      </c>
      <c r="S52" s="5">
        <v>2</v>
      </c>
      <c r="T52" s="5">
        <v>2</v>
      </c>
      <c r="U52" s="5">
        <v>2</v>
      </c>
      <c r="V52" s="5">
        <v>2</v>
      </c>
      <c r="W52" s="5">
        <v>2</v>
      </c>
      <c r="X52" s="5">
        <v>2</v>
      </c>
      <c r="Y52" s="5">
        <v>2</v>
      </c>
      <c r="Z52" s="5">
        <v>2</v>
      </c>
      <c r="AA52" s="3">
        <v>0</v>
      </c>
      <c r="AB52" s="5">
        <v>0</v>
      </c>
      <c r="AC52" s="5">
        <v>0</v>
      </c>
    </row>
    <row r="53" spans="1:29" x14ac:dyDescent="0.3">
      <c r="A53" s="63"/>
      <c r="B53" s="53"/>
      <c r="C53" s="33" t="s">
        <v>163</v>
      </c>
      <c r="D53" s="33"/>
      <c r="E53" s="42" t="s">
        <v>59</v>
      </c>
      <c r="F53" s="42"/>
      <c r="G53" s="5"/>
      <c r="H53" s="5">
        <v>4</v>
      </c>
      <c r="I53" s="5">
        <v>4</v>
      </c>
      <c r="J53" s="5">
        <v>4</v>
      </c>
      <c r="K53" s="5">
        <v>4</v>
      </c>
      <c r="L53" s="5">
        <v>4</v>
      </c>
      <c r="M53" s="5">
        <v>4</v>
      </c>
      <c r="N53" s="5">
        <v>4</v>
      </c>
      <c r="O53" s="5">
        <v>4</v>
      </c>
      <c r="P53" s="5">
        <v>4</v>
      </c>
      <c r="Q53" s="5">
        <v>4</v>
      </c>
      <c r="R53" s="5">
        <v>4</v>
      </c>
      <c r="S53" s="5">
        <v>4</v>
      </c>
      <c r="T53" s="5">
        <v>4</v>
      </c>
      <c r="U53" s="5">
        <v>4</v>
      </c>
      <c r="V53" s="5">
        <v>4</v>
      </c>
      <c r="W53" s="5">
        <v>4</v>
      </c>
      <c r="X53" s="5">
        <v>4</v>
      </c>
      <c r="Y53" s="5">
        <v>4</v>
      </c>
      <c r="Z53" s="5">
        <v>4</v>
      </c>
      <c r="AA53" s="3">
        <v>0</v>
      </c>
      <c r="AB53" s="5">
        <v>0</v>
      </c>
      <c r="AC53" s="5">
        <v>0</v>
      </c>
    </row>
    <row r="54" spans="1:29" x14ac:dyDescent="0.3">
      <c r="A54" s="63"/>
      <c r="B54" s="53"/>
      <c r="C54" s="33" t="s">
        <v>164</v>
      </c>
      <c r="D54" s="33"/>
      <c r="E54" s="42" t="s">
        <v>62</v>
      </c>
      <c r="F54" s="42"/>
      <c r="G54" s="5"/>
      <c r="H54" s="5">
        <v>4</v>
      </c>
      <c r="I54" s="5">
        <v>4</v>
      </c>
      <c r="J54" s="5">
        <v>4</v>
      </c>
      <c r="K54" s="5">
        <v>4</v>
      </c>
      <c r="L54" s="5">
        <v>4</v>
      </c>
      <c r="M54" s="5">
        <v>4</v>
      </c>
      <c r="N54" s="5">
        <v>4</v>
      </c>
      <c r="O54" s="5">
        <v>4</v>
      </c>
      <c r="P54" s="5">
        <v>4</v>
      </c>
      <c r="Q54" s="5">
        <v>4</v>
      </c>
      <c r="R54" s="5">
        <v>4</v>
      </c>
      <c r="S54" s="5">
        <v>4</v>
      </c>
      <c r="T54" s="5">
        <v>4</v>
      </c>
      <c r="U54" s="5">
        <v>4</v>
      </c>
      <c r="V54" s="5">
        <v>4</v>
      </c>
      <c r="W54" s="5">
        <v>4</v>
      </c>
      <c r="X54" s="5">
        <v>4</v>
      </c>
      <c r="Y54" s="5">
        <v>4</v>
      </c>
      <c r="Z54" s="5">
        <v>2</v>
      </c>
      <c r="AA54" s="3">
        <v>0</v>
      </c>
      <c r="AB54" s="5">
        <v>0</v>
      </c>
      <c r="AC54" s="5">
        <v>0</v>
      </c>
    </row>
    <row r="55" spans="1:29" x14ac:dyDescent="0.3">
      <c r="A55" s="63"/>
      <c r="B55" s="53"/>
      <c r="C55" s="34" t="s">
        <v>165</v>
      </c>
      <c r="D55" s="35"/>
      <c r="E55" s="42" t="s">
        <v>61</v>
      </c>
      <c r="F55" s="42"/>
      <c r="G55" s="5"/>
      <c r="H55" s="5">
        <v>4</v>
      </c>
      <c r="I55" s="5">
        <v>4</v>
      </c>
      <c r="J55" s="5">
        <v>4</v>
      </c>
      <c r="K55" s="5">
        <v>4</v>
      </c>
      <c r="L55" s="5">
        <v>4</v>
      </c>
      <c r="M55" s="5">
        <v>4</v>
      </c>
      <c r="N55" s="5">
        <v>4</v>
      </c>
      <c r="O55" s="5">
        <v>4</v>
      </c>
      <c r="P55" s="5">
        <v>4</v>
      </c>
      <c r="Q55" s="5">
        <v>4</v>
      </c>
      <c r="R55" s="5">
        <v>4</v>
      </c>
      <c r="S55" s="5">
        <v>4</v>
      </c>
      <c r="T55" s="5">
        <v>4</v>
      </c>
      <c r="U55" s="5">
        <v>4</v>
      </c>
      <c r="V55" s="5">
        <v>4</v>
      </c>
      <c r="W55" s="5">
        <v>4</v>
      </c>
      <c r="X55" s="5">
        <v>4</v>
      </c>
      <c r="Y55" s="5">
        <v>4</v>
      </c>
      <c r="Z55" s="5">
        <v>2</v>
      </c>
      <c r="AA55" s="3">
        <v>0</v>
      </c>
      <c r="AB55" s="5">
        <v>0</v>
      </c>
      <c r="AC55" s="5">
        <v>0</v>
      </c>
    </row>
    <row r="56" spans="1:29" x14ac:dyDescent="0.3">
      <c r="A56" s="63"/>
      <c r="B56" s="43" t="s">
        <v>26</v>
      </c>
      <c r="C56" s="33" t="s">
        <v>166</v>
      </c>
      <c r="D56" s="33"/>
      <c r="E56" s="42" t="s">
        <v>61</v>
      </c>
      <c r="F56" s="42"/>
      <c r="G56" s="5"/>
      <c r="H56" s="5">
        <v>4</v>
      </c>
      <c r="I56" s="5">
        <v>4</v>
      </c>
      <c r="J56" s="5">
        <v>4</v>
      </c>
      <c r="K56" s="5">
        <v>4</v>
      </c>
      <c r="L56" s="5">
        <v>4</v>
      </c>
      <c r="M56" s="5">
        <v>4</v>
      </c>
      <c r="N56" s="5">
        <v>4</v>
      </c>
      <c r="O56" s="5">
        <v>4</v>
      </c>
      <c r="P56" s="5">
        <v>4</v>
      </c>
      <c r="Q56" s="5">
        <v>4</v>
      </c>
      <c r="R56" s="5">
        <v>4</v>
      </c>
      <c r="S56" s="5">
        <v>4</v>
      </c>
      <c r="T56" s="5">
        <v>4</v>
      </c>
      <c r="U56" s="5">
        <v>4</v>
      </c>
      <c r="V56" s="5">
        <v>4</v>
      </c>
      <c r="W56" s="5">
        <v>4</v>
      </c>
      <c r="X56" s="5">
        <v>4</v>
      </c>
      <c r="Y56" s="5">
        <v>3</v>
      </c>
      <c r="Z56" s="5">
        <v>2</v>
      </c>
      <c r="AA56" s="5">
        <v>1</v>
      </c>
      <c r="AB56" s="3">
        <v>0</v>
      </c>
      <c r="AC56" s="5">
        <v>0</v>
      </c>
    </row>
    <row r="57" spans="1:29" x14ac:dyDescent="0.3">
      <c r="A57" s="63"/>
      <c r="B57" s="53"/>
      <c r="C57" s="33" t="s">
        <v>167</v>
      </c>
      <c r="D57" s="33"/>
      <c r="E57" s="42" t="s">
        <v>59</v>
      </c>
      <c r="F57" s="42"/>
      <c r="G57" s="5"/>
      <c r="H57" s="5">
        <v>2</v>
      </c>
      <c r="I57" s="5">
        <v>2</v>
      </c>
      <c r="J57" s="5">
        <v>2</v>
      </c>
      <c r="K57" s="5">
        <v>2</v>
      </c>
      <c r="L57" s="5">
        <v>2</v>
      </c>
      <c r="M57" s="5">
        <v>2</v>
      </c>
      <c r="N57" s="5">
        <v>2</v>
      </c>
      <c r="O57" s="5">
        <v>2</v>
      </c>
      <c r="P57" s="5">
        <v>2</v>
      </c>
      <c r="Q57" s="5">
        <v>2</v>
      </c>
      <c r="R57" s="5">
        <v>2</v>
      </c>
      <c r="S57" s="5">
        <v>2</v>
      </c>
      <c r="T57" s="5">
        <v>2</v>
      </c>
      <c r="U57" s="5">
        <v>2</v>
      </c>
      <c r="V57" s="5">
        <v>2</v>
      </c>
      <c r="W57" s="5">
        <v>2</v>
      </c>
      <c r="X57" s="5">
        <v>2</v>
      </c>
      <c r="Y57" s="5">
        <v>2</v>
      </c>
      <c r="Z57" s="5">
        <v>2</v>
      </c>
      <c r="AA57" s="5">
        <v>1</v>
      </c>
      <c r="AB57" s="3">
        <v>0</v>
      </c>
      <c r="AC57" s="5">
        <v>0</v>
      </c>
    </row>
    <row r="58" spans="1:29" x14ac:dyDescent="0.3">
      <c r="A58" s="63"/>
      <c r="B58" s="53"/>
      <c r="C58" s="33" t="s">
        <v>168</v>
      </c>
      <c r="D58" s="33"/>
      <c r="E58" s="42" t="s">
        <v>59</v>
      </c>
      <c r="F58" s="42"/>
      <c r="G58" s="5"/>
      <c r="H58" s="5">
        <v>2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3">
        <v>0</v>
      </c>
      <c r="AC58" s="5">
        <v>0</v>
      </c>
    </row>
    <row r="59" spans="1:29" x14ac:dyDescent="0.3">
      <c r="A59" s="63"/>
      <c r="B59" s="53"/>
      <c r="C59" s="33" t="s">
        <v>169</v>
      </c>
      <c r="D59" s="33"/>
      <c r="E59" s="42" t="s">
        <v>53</v>
      </c>
      <c r="F59" s="42"/>
      <c r="G59" s="5"/>
      <c r="H59" s="5">
        <v>4</v>
      </c>
      <c r="I59" s="5">
        <v>4</v>
      </c>
      <c r="J59" s="5">
        <v>4</v>
      </c>
      <c r="K59" s="5">
        <v>4</v>
      </c>
      <c r="L59" s="5">
        <v>4</v>
      </c>
      <c r="M59" s="5">
        <v>4</v>
      </c>
      <c r="N59" s="5">
        <v>4</v>
      </c>
      <c r="O59" s="5">
        <v>4</v>
      </c>
      <c r="P59" s="5">
        <v>4</v>
      </c>
      <c r="Q59" s="5">
        <v>4</v>
      </c>
      <c r="R59" s="5">
        <v>4</v>
      </c>
      <c r="S59" s="5">
        <v>4</v>
      </c>
      <c r="T59" s="5">
        <v>4</v>
      </c>
      <c r="U59" s="5">
        <v>4</v>
      </c>
      <c r="V59" s="5">
        <v>4</v>
      </c>
      <c r="W59" s="5">
        <v>4</v>
      </c>
      <c r="X59" s="5">
        <v>4</v>
      </c>
      <c r="Y59" s="5">
        <v>3</v>
      </c>
      <c r="Z59" s="5">
        <v>2</v>
      </c>
      <c r="AA59" s="5">
        <v>1</v>
      </c>
      <c r="AB59" s="3">
        <v>0</v>
      </c>
      <c r="AC59" s="5">
        <v>0</v>
      </c>
    </row>
    <row r="60" spans="1:29" x14ac:dyDescent="0.3">
      <c r="A60" s="63"/>
      <c r="B60" s="53"/>
      <c r="C60" s="33" t="s">
        <v>170</v>
      </c>
      <c r="D60" s="33"/>
      <c r="E60" s="42" t="s">
        <v>60</v>
      </c>
      <c r="F60" s="42"/>
      <c r="G60" s="5"/>
      <c r="H60" s="5">
        <v>4</v>
      </c>
      <c r="I60" s="5">
        <v>4</v>
      </c>
      <c r="J60" s="5">
        <v>4</v>
      </c>
      <c r="K60" s="5">
        <v>4</v>
      </c>
      <c r="L60" s="5">
        <v>4</v>
      </c>
      <c r="M60" s="5">
        <v>4</v>
      </c>
      <c r="N60" s="5">
        <v>4</v>
      </c>
      <c r="O60" s="5">
        <v>4</v>
      </c>
      <c r="P60" s="5">
        <v>4</v>
      </c>
      <c r="Q60" s="5">
        <v>4</v>
      </c>
      <c r="R60" s="5">
        <v>4</v>
      </c>
      <c r="S60" s="5">
        <v>4</v>
      </c>
      <c r="T60" s="5">
        <v>4</v>
      </c>
      <c r="U60" s="5">
        <v>4</v>
      </c>
      <c r="V60" s="5">
        <v>4</v>
      </c>
      <c r="W60" s="5">
        <v>4</v>
      </c>
      <c r="X60" s="5">
        <v>4</v>
      </c>
      <c r="Y60" s="5">
        <v>3</v>
      </c>
      <c r="Z60" s="5">
        <v>2</v>
      </c>
      <c r="AA60" s="5">
        <v>1</v>
      </c>
      <c r="AB60" s="3">
        <v>0</v>
      </c>
      <c r="AC60" s="5">
        <v>0</v>
      </c>
    </row>
    <row r="61" spans="1:29" x14ac:dyDescent="0.3">
      <c r="A61" s="63"/>
      <c r="B61" s="53"/>
      <c r="C61" s="34" t="s">
        <v>171</v>
      </c>
      <c r="D61" s="35"/>
      <c r="E61" s="42" t="s">
        <v>62</v>
      </c>
      <c r="F61" s="42"/>
      <c r="G61" s="5"/>
      <c r="H61" s="5">
        <v>4</v>
      </c>
      <c r="I61" s="5">
        <v>4</v>
      </c>
      <c r="J61" s="5">
        <v>4</v>
      </c>
      <c r="K61" s="5">
        <v>4</v>
      </c>
      <c r="L61" s="5">
        <v>4</v>
      </c>
      <c r="M61" s="5">
        <v>4</v>
      </c>
      <c r="N61" s="5">
        <v>4</v>
      </c>
      <c r="O61" s="5">
        <v>4</v>
      </c>
      <c r="P61" s="5">
        <v>4</v>
      </c>
      <c r="Q61" s="5">
        <v>4</v>
      </c>
      <c r="R61" s="5">
        <v>4</v>
      </c>
      <c r="S61" s="5">
        <v>4</v>
      </c>
      <c r="T61" s="5">
        <v>4</v>
      </c>
      <c r="U61" s="5">
        <v>4</v>
      </c>
      <c r="V61" s="5">
        <v>4</v>
      </c>
      <c r="W61" s="5">
        <v>4</v>
      </c>
      <c r="X61" s="5">
        <v>4</v>
      </c>
      <c r="Y61" s="5">
        <v>3</v>
      </c>
      <c r="Z61" s="5">
        <v>2</v>
      </c>
      <c r="AA61" s="5">
        <v>1</v>
      </c>
      <c r="AB61" s="3">
        <v>0</v>
      </c>
      <c r="AC61" s="5">
        <v>0</v>
      </c>
    </row>
    <row r="62" spans="1:29" x14ac:dyDescent="0.3">
      <c r="A62" s="63"/>
      <c r="B62" s="63" t="s">
        <v>43</v>
      </c>
      <c r="C62" s="33" t="s">
        <v>47</v>
      </c>
      <c r="D62" s="33"/>
      <c r="E62" s="77" t="s">
        <v>34</v>
      </c>
      <c r="F62" s="77"/>
      <c r="G62" s="5"/>
      <c r="H62" s="5">
        <v>10</v>
      </c>
      <c r="I62" s="5">
        <v>10</v>
      </c>
      <c r="J62" s="5">
        <v>10</v>
      </c>
      <c r="K62" s="5">
        <v>10</v>
      </c>
      <c r="L62" s="5">
        <v>10</v>
      </c>
      <c r="M62" s="5">
        <v>10</v>
      </c>
      <c r="N62" s="5">
        <v>10</v>
      </c>
      <c r="O62" s="5">
        <v>10</v>
      </c>
      <c r="P62" s="5">
        <v>10</v>
      </c>
      <c r="Q62" s="5">
        <v>10</v>
      </c>
      <c r="R62" s="5">
        <v>10</v>
      </c>
      <c r="S62" s="5">
        <v>10</v>
      </c>
      <c r="T62" s="5">
        <v>10</v>
      </c>
      <c r="U62" s="5">
        <v>10</v>
      </c>
      <c r="V62" s="5">
        <v>10</v>
      </c>
      <c r="W62" s="5">
        <v>10</v>
      </c>
      <c r="X62" s="5">
        <v>10</v>
      </c>
      <c r="Y62" s="5">
        <v>8</v>
      </c>
      <c r="Z62" s="5">
        <v>6</v>
      </c>
      <c r="AA62" s="5">
        <v>4</v>
      </c>
      <c r="AB62" s="5">
        <v>2</v>
      </c>
      <c r="AC62" s="3">
        <v>0</v>
      </c>
    </row>
    <row r="63" spans="1:29" x14ac:dyDescent="0.3">
      <c r="A63" s="63"/>
      <c r="B63" s="63"/>
      <c r="C63" s="33" t="s">
        <v>48</v>
      </c>
      <c r="D63" s="33"/>
      <c r="E63" s="77" t="s">
        <v>34</v>
      </c>
      <c r="F63" s="77"/>
      <c r="G63" s="5"/>
      <c r="H63" s="5">
        <v>10</v>
      </c>
      <c r="I63" s="5">
        <v>10</v>
      </c>
      <c r="J63" s="5">
        <v>10</v>
      </c>
      <c r="K63" s="5">
        <v>10</v>
      </c>
      <c r="L63" s="5">
        <v>10</v>
      </c>
      <c r="M63" s="5">
        <v>10</v>
      </c>
      <c r="N63" s="5">
        <v>10</v>
      </c>
      <c r="O63" s="5">
        <v>10</v>
      </c>
      <c r="P63" s="5">
        <v>10</v>
      </c>
      <c r="Q63" s="5">
        <v>10</v>
      </c>
      <c r="R63" s="5">
        <v>10</v>
      </c>
      <c r="S63" s="5">
        <v>10</v>
      </c>
      <c r="T63" s="5">
        <v>10</v>
      </c>
      <c r="U63" s="5">
        <v>10</v>
      </c>
      <c r="V63" s="5">
        <v>10</v>
      </c>
      <c r="W63" s="5">
        <v>10</v>
      </c>
      <c r="X63" s="5">
        <v>10</v>
      </c>
      <c r="Y63" s="5">
        <v>8</v>
      </c>
      <c r="Z63" s="5">
        <v>6</v>
      </c>
      <c r="AA63" s="5">
        <v>4</v>
      </c>
      <c r="AB63" s="5">
        <v>2</v>
      </c>
      <c r="AC63" s="3">
        <v>0</v>
      </c>
    </row>
    <row r="64" spans="1:29" x14ac:dyDescent="0.3">
      <c r="A64" s="63"/>
      <c r="B64" s="59" t="s">
        <v>13</v>
      </c>
      <c r="C64" s="59"/>
      <c r="D64" s="59"/>
      <c r="E64" s="66" t="s">
        <v>11</v>
      </c>
      <c r="F64" s="66"/>
      <c r="G64" s="66"/>
      <c r="H64" s="66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x14ac:dyDescent="0.3">
      <c r="A65" s="63"/>
      <c r="B65" s="59"/>
      <c r="C65" s="59"/>
      <c r="D65" s="59"/>
      <c r="E65" s="66" t="s">
        <v>12</v>
      </c>
      <c r="F65" s="66"/>
      <c r="G65" s="66">
        <f>SUM(H16:H63)</f>
        <v>268</v>
      </c>
      <c r="H65" s="66"/>
      <c r="I65" s="4">
        <f t="shared" ref="I65:AC65" si="2">SUM(I16:I63)</f>
        <v>253</v>
      </c>
      <c r="J65" s="4">
        <f t="shared" si="2"/>
        <v>248</v>
      </c>
      <c r="K65" s="4">
        <f t="shared" si="2"/>
        <v>233</v>
      </c>
      <c r="L65" s="4">
        <f t="shared" si="2"/>
        <v>216</v>
      </c>
      <c r="M65" s="4">
        <f t="shared" si="2"/>
        <v>204</v>
      </c>
      <c r="N65" s="4">
        <f t="shared" si="2"/>
        <v>194</v>
      </c>
      <c r="O65" s="4">
        <f t="shared" si="2"/>
        <v>189</v>
      </c>
      <c r="P65" s="4">
        <f t="shared" si="2"/>
        <v>181</v>
      </c>
      <c r="Q65" s="4">
        <f t="shared" si="2"/>
        <v>177</v>
      </c>
      <c r="R65" s="4">
        <f t="shared" si="2"/>
        <v>153</v>
      </c>
      <c r="S65" s="4">
        <f t="shared" si="2"/>
        <v>139</v>
      </c>
      <c r="T65" s="4">
        <f t="shared" si="2"/>
        <v>123</v>
      </c>
      <c r="U65" s="4">
        <f t="shared" si="2"/>
        <v>107</v>
      </c>
      <c r="V65" s="4">
        <f t="shared" si="2"/>
        <v>95</v>
      </c>
      <c r="W65" s="4">
        <f t="shared" si="2"/>
        <v>80</v>
      </c>
      <c r="X65" s="4">
        <f t="shared" si="2"/>
        <v>72</v>
      </c>
      <c r="Y65" s="4">
        <f t="shared" si="2"/>
        <v>60</v>
      </c>
      <c r="Z65" s="4">
        <f t="shared" si="2"/>
        <v>37</v>
      </c>
      <c r="AA65" s="4">
        <f t="shared" si="2"/>
        <v>14</v>
      </c>
      <c r="AB65" s="4">
        <f t="shared" si="2"/>
        <v>4</v>
      </c>
      <c r="AC65" s="4">
        <f t="shared" si="2"/>
        <v>0</v>
      </c>
    </row>
    <row r="70" spans="1:29" ht="55.2" x14ac:dyDescent="0.3">
      <c r="A70" s="17" t="s">
        <v>14</v>
      </c>
      <c r="B70" s="17" t="s">
        <v>15</v>
      </c>
      <c r="C70" s="59" t="s">
        <v>16</v>
      </c>
      <c r="D70" s="59"/>
      <c r="E70" s="59" t="s">
        <v>17</v>
      </c>
      <c r="F70" s="59"/>
      <c r="G70" s="18" t="s">
        <v>11</v>
      </c>
      <c r="H70" s="18" t="s">
        <v>12</v>
      </c>
      <c r="I70" s="19">
        <v>45982</v>
      </c>
      <c r="J70" s="19">
        <v>45983</v>
      </c>
      <c r="K70" s="19">
        <v>45984</v>
      </c>
      <c r="L70" s="19">
        <v>45985</v>
      </c>
      <c r="M70" s="19">
        <v>45986</v>
      </c>
      <c r="N70" s="19">
        <v>45987</v>
      </c>
      <c r="O70" s="19">
        <v>45988</v>
      </c>
      <c r="P70" s="19">
        <v>45989</v>
      </c>
      <c r="Q70" s="19">
        <v>45990</v>
      </c>
      <c r="R70" s="19">
        <v>45991</v>
      </c>
      <c r="S70" s="19">
        <v>45992</v>
      </c>
      <c r="T70" s="19">
        <v>45993</v>
      </c>
      <c r="U70" s="19">
        <v>45994</v>
      </c>
      <c r="V70" s="19">
        <v>45995</v>
      </c>
      <c r="W70" s="19">
        <v>45996</v>
      </c>
      <c r="X70" s="19">
        <v>45997</v>
      </c>
      <c r="Y70" s="19">
        <v>45998</v>
      </c>
      <c r="Z70" s="19">
        <v>45999</v>
      </c>
      <c r="AA70" s="19">
        <v>46000</v>
      </c>
      <c r="AB70" s="19">
        <v>46001</v>
      </c>
      <c r="AC70" s="19">
        <v>46002</v>
      </c>
    </row>
    <row r="71" spans="1:29" x14ac:dyDescent="0.3">
      <c r="A71" s="63" t="s">
        <v>30</v>
      </c>
      <c r="B71" s="33" t="s">
        <v>18</v>
      </c>
      <c r="C71" s="33"/>
      <c r="D71" s="33"/>
      <c r="E71" s="42" t="s">
        <v>34</v>
      </c>
      <c r="F71" s="42"/>
      <c r="G71" s="5">
        <v>4</v>
      </c>
      <c r="H71" s="5"/>
      <c r="I71" s="3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</row>
    <row r="72" spans="1:29" x14ac:dyDescent="0.3">
      <c r="A72" s="63"/>
      <c r="B72" s="33" t="s">
        <v>42</v>
      </c>
      <c r="C72" s="33"/>
      <c r="D72" s="33"/>
      <c r="E72" s="42" t="s">
        <v>53</v>
      </c>
      <c r="F72" s="42"/>
      <c r="G72" s="5">
        <v>4</v>
      </c>
      <c r="H72" s="5"/>
      <c r="I72" s="3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3">
      <c r="A73" s="63"/>
      <c r="B73" s="33" t="s">
        <v>20</v>
      </c>
      <c r="C73" s="33"/>
      <c r="D73" s="33"/>
      <c r="E73" s="42" t="s">
        <v>131</v>
      </c>
      <c r="F73" s="42"/>
      <c r="G73" s="5">
        <v>20</v>
      </c>
      <c r="H73" s="5"/>
      <c r="I73" s="5">
        <v>20</v>
      </c>
      <c r="J73" s="5">
        <v>20</v>
      </c>
      <c r="K73" s="5">
        <v>16</v>
      </c>
      <c r="L73" s="5">
        <v>8</v>
      </c>
      <c r="M73" s="5">
        <v>4</v>
      </c>
      <c r="N73" s="3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3">
      <c r="A74" s="63"/>
      <c r="B74" s="30" t="s">
        <v>46</v>
      </c>
      <c r="C74" s="62"/>
      <c r="D74" s="31"/>
      <c r="E74" s="28" t="s">
        <v>132</v>
      </c>
      <c r="F74" s="29"/>
      <c r="G74" s="5">
        <v>15</v>
      </c>
      <c r="H74" s="5"/>
      <c r="I74" s="5">
        <v>9</v>
      </c>
      <c r="J74" s="5">
        <v>4</v>
      </c>
      <c r="K74" s="3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ht="16.8" customHeight="1" x14ac:dyDescent="0.3">
      <c r="A75" s="63"/>
      <c r="B75" s="43" t="s">
        <v>21</v>
      </c>
      <c r="C75" s="33" t="s">
        <v>133</v>
      </c>
      <c r="D75" s="33"/>
      <c r="E75" s="42" t="s">
        <v>60</v>
      </c>
      <c r="F75" s="42"/>
      <c r="G75" s="5">
        <v>4</v>
      </c>
      <c r="H75" s="5"/>
      <c r="I75" s="5">
        <v>3</v>
      </c>
      <c r="J75" s="5">
        <v>2</v>
      </c>
      <c r="K75" s="3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spans="1:29" x14ac:dyDescent="0.3">
      <c r="A76" s="63"/>
      <c r="B76" s="53"/>
      <c r="C76" s="33" t="s">
        <v>134</v>
      </c>
      <c r="D76" s="33"/>
      <c r="E76" s="42" t="s">
        <v>53</v>
      </c>
      <c r="F76" s="42"/>
      <c r="G76" s="5">
        <v>3</v>
      </c>
      <c r="H76" s="5"/>
      <c r="I76" s="5">
        <v>2</v>
      </c>
      <c r="J76" s="5">
        <v>1</v>
      </c>
      <c r="K76" s="3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3">
      <c r="A77" s="63"/>
      <c r="B77" s="53"/>
      <c r="C77" s="33" t="s">
        <v>135</v>
      </c>
      <c r="D77" s="33"/>
      <c r="E77" s="42" t="s">
        <v>61</v>
      </c>
      <c r="F77" s="42"/>
      <c r="G77" s="5">
        <v>4</v>
      </c>
      <c r="H77" s="5"/>
      <c r="I77" s="5">
        <v>3</v>
      </c>
      <c r="J77" s="5">
        <v>2</v>
      </c>
      <c r="K77" s="5">
        <v>1</v>
      </c>
      <c r="L77" s="3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3">
      <c r="A78" s="63"/>
      <c r="B78" s="53"/>
      <c r="C78" s="30" t="s">
        <v>136</v>
      </c>
      <c r="D78" s="31"/>
      <c r="E78" s="28" t="s">
        <v>59</v>
      </c>
      <c r="F78" s="29"/>
      <c r="G78" s="5">
        <v>3</v>
      </c>
      <c r="H78" s="5"/>
      <c r="I78" s="5">
        <v>3</v>
      </c>
      <c r="J78" s="5">
        <v>2</v>
      </c>
      <c r="K78" s="5">
        <v>1</v>
      </c>
      <c r="L78" s="3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spans="1:29" x14ac:dyDescent="0.3">
      <c r="A79" s="63"/>
      <c r="B79" s="53"/>
      <c r="C79" s="33" t="s">
        <v>137</v>
      </c>
      <c r="D79" s="33"/>
      <c r="E79" s="42" t="s">
        <v>62</v>
      </c>
      <c r="F79" s="42"/>
      <c r="G79" s="5">
        <v>6</v>
      </c>
      <c r="H79" s="5"/>
      <c r="I79" s="5">
        <v>5</v>
      </c>
      <c r="J79" s="5">
        <v>4</v>
      </c>
      <c r="K79" s="5">
        <v>3</v>
      </c>
      <c r="L79" s="5">
        <v>2</v>
      </c>
      <c r="M79" s="3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3">
      <c r="A80" s="63"/>
      <c r="B80" s="53"/>
      <c r="C80" s="33" t="s">
        <v>138</v>
      </c>
      <c r="D80" s="33"/>
      <c r="E80" s="42" t="s">
        <v>53</v>
      </c>
      <c r="F80" s="42"/>
      <c r="G80" s="5">
        <v>4</v>
      </c>
      <c r="H80" s="5"/>
      <c r="I80" s="5">
        <v>4</v>
      </c>
      <c r="J80" s="5">
        <v>3</v>
      </c>
      <c r="K80" s="5">
        <v>2</v>
      </c>
      <c r="L80" s="5">
        <v>1</v>
      </c>
      <c r="M80" s="3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spans="1:30" x14ac:dyDescent="0.3">
      <c r="A81" s="63"/>
      <c r="B81" s="53"/>
      <c r="C81" s="33" t="s">
        <v>44</v>
      </c>
      <c r="D81" s="33"/>
      <c r="E81" s="42" t="s">
        <v>62</v>
      </c>
      <c r="F81" s="42"/>
      <c r="G81" s="5">
        <v>1</v>
      </c>
      <c r="H81" s="5"/>
      <c r="I81" s="5">
        <v>4</v>
      </c>
      <c r="J81" s="5">
        <v>4</v>
      </c>
      <c r="K81" s="5">
        <v>4</v>
      </c>
      <c r="L81" s="5">
        <v>4</v>
      </c>
      <c r="M81" s="5">
        <v>4</v>
      </c>
      <c r="N81" s="3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spans="1:30" x14ac:dyDescent="0.3">
      <c r="A82" s="63"/>
      <c r="B82" s="53"/>
      <c r="C82" s="28"/>
      <c r="D82" s="29"/>
      <c r="E82" s="28"/>
      <c r="F82" s="29"/>
      <c r="G82" s="5"/>
      <c r="H82" s="5"/>
      <c r="I82" s="5"/>
      <c r="J82" s="5"/>
      <c r="K82" s="5"/>
      <c r="L82" s="5"/>
      <c r="M82" s="5"/>
      <c r="N82" s="24">
        <v>-3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30" x14ac:dyDescent="0.3">
      <c r="A83" s="63"/>
      <c r="B83" s="53"/>
      <c r="C83" s="30" t="s">
        <v>139</v>
      </c>
      <c r="D83" s="31"/>
      <c r="E83" s="28" t="s">
        <v>61</v>
      </c>
      <c r="F83" s="29"/>
      <c r="G83" s="5">
        <v>3</v>
      </c>
      <c r="H83" s="5"/>
      <c r="I83" s="5">
        <v>3</v>
      </c>
      <c r="J83" s="5">
        <v>3</v>
      </c>
      <c r="K83" s="5">
        <v>3</v>
      </c>
      <c r="L83" s="5">
        <v>3</v>
      </c>
      <c r="M83" s="5">
        <v>2</v>
      </c>
      <c r="N83" s="5">
        <v>1</v>
      </c>
      <c r="O83" s="3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30" x14ac:dyDescent="0.3">
      <c r="A84" s="63"/>
      <c r="B84" s="53"/>
      <c r="C84" s="30" t="s">
        <v>140</v>
      </c>
      <c r="D84" s="31"/>
      <c r="E84" s="28" t="s">
        <v>60</v>
      </c>
      <c r="F84" s="29"/>
      <c r="G84" s="5">
        <v>1</v>
      </c>
      <c r="H84" s="5"/>
      <c r="I84" s="5">
        <v>2</v>
      </c>
      <c r="J84" s="5">
        <v>2</v>
      </c>
      <c r="K84" s="5">
        <v>2</v>
      </c>
      <c r="L84" s="5">
        <v>2</v>
      </c>
      <c r="M84" s="5">
        <v>2</v>
      </c>
      <c r="N84" s="5">
        <v>2</v>
      </c>
      <c r="O84" s="3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30" x14ac:dyDescent="0.3">
      <c r="A85" s="63"/>
      <c r="B85" s="53"/>
      <c r="C85" s="28"/>
      <c r="D85" s="29"/>
      <c r="E85" s="28"/>
      <c r="F85" s="29"/>
      <c r="G85" s="5"/>
      <c r="H85" s="5"/>
      <c r="I85" s="5"/>
      <c r="J85" s="5"/>
      <c r="K85" s="5"/>
      <c r="L85" s="5"/>
      <c r="M85" s="5"/>
      <c r="N85" s="5"/>
      <c r="O85" s="24">
        <v>-1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30" x14ac:dyDescent="0.3">
      <c r="A86" s="63"/>
      <c r="B86" s="53"/>
      <c r="C86" s="30" t="s">
        <v>141</v>
      </c>
      <c r="D86" s="31"/>
      <c r="E86" s="28" t="s">
        <v>59</v>
      </c>
      <c r="F86" s="29"/>
      <c r="G86" s="5">
        <v>4</v>
      </c>
      <c r="H86" s="5"/>
      <c r="I86" s="5">
        <v>4</v>
      </c>
      <c r="J86" s="5">
        <v>4</v>
      </c>
      <c r="K86" s="5">
        <v>4</v>
      </c>
      <c r="L86" s="5">
        <v>4</v>
      </c>
      <c r="M86" s="5">
        <v>3</v>
      </c>
      <c r="N86" s="5">
        <v>2</v>
      </c>
      <c r="O86" s="5">
        <v>1</v>
      </c>
      <c r="P86" s="3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30" x14ac:dyDescent="0.3">
      <c r="A87" s="63"/>
      <c r="B87" s="53"/>
      <c r="C87" s="30" t="s">
        <v>45</v>
      </c>
      <c r="D87" s="31"/>
      <c r="E87" s="28" t="s">
        <v>34</v>
      </c>
      <c r="F87" s="29"/>
      <c r="G87" s="5">
        <v>8</v>
      </c>
      <c r="H87" s="5"/>
      <c r="I87" s="5">
        <v>8</v>
      </c>
      <c r="J87" s="5">
        <v>8</v>
      </c>
      <c r="K87" s="5">
        <v>8</v>
      </c>
      <c r="L87" s="5">
        <v>8</v>
      </c>
      <c r="M87" s="5">
        <v>8</v>
      </c>
      <c r="N87" s="5">
        <v>6</v>
      </c>
      <c r="O87" s="5">
        <v>3</v>
      </c>
      <c r="P87" s="5">
        <v>2</v>
      </c>
      <c r="Q87" s="3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30" x14ac:dyDescent="0.3">
      <c r="A88" s="63"/>
      <c r="B88" s="43" t="s">
        <v>22</v>
      </c>
      <c r="C88" s="33" t="s">
        <v>142</v>
      </c>
      <c r="D88" s="33"/>
      <c r="E88" s="42" t="s">
        <v>61</v>
      </c>
      <c r="F88" s="42"/>
      <c r="G88" s="5">
        <v>6</v>
      </c>
      <c r="H88" s="5"/>
      <c r="I88" s="5">
        <v>6</v>
      </c>
      <c r="J88" s="5">
        <v>6</v>
      </c>
      <c r="K88" s="5">
        <v>6</v>
      </c>
      <c r="L88" s="5">
        <v>6</v>
      </c>
      <c r="M88" s="5">
        <v>6</v>
      </c>
      <c r="N88" s="5">
        <v>6</v>
      </c>
      <c r="O88" s="5">
        <v>6</v>
      </c>
      <c r="P88" s="5">
        <v>3</v>
      </c>
      <c r="Q88" s="5">
        <v>2</v>
      </c>
      <c r="R88" s="5">
        <v>1</v>
      </c>
      <c r="S88" s="3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12"/>
    </row>
    <row r="89" spans="1:30" x14ac:dyDescent="0.3">
      <c r="A89" s="63"/>
      <c r="B89" s="53"/>
      <c r="C89" s="33" t="s">
        <v>143</v>
      </c>
      <c r="D89" s="33"/>
      <c r="E89" s="42" t="s">
        <v>59</v>
      </c>
      <c r="F89" s="42"/>
      <c r="G89" s="5">
        <v>3</v>
      </c>
      <c r="H89" s="5"/>
      <c r="I89" s="5">
        <v>3</v>
      </c>
      <c r="J89" s="5">
        <v>3</v>
      </c>
      <c r="K89" s="5">
        <v>3</v>
      </c>
      <c r="L89" s="5">
        <v>3</v>
      </c>
      <c r="M89" s="5">
        <v>3</v>
      </c>
      <c r="N89" s="5">
        <v>3</v>
      </c>
      <c r="O89" s="5">
        <v>3</v>
      </c>
      <c r="P89" s="5">
        <v>2</v>
      </c>
      <c r="Q89" s="5">
        <v>2</v>
      </c>
      <c r="R89" s="3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12"/>
    </row>
    <row r="90" spans="1:30" x14ac:dyDescent="0.3">
      <c r="A90" s="63"/>
      <c r="B90" s="53"/>
      <c r="C90" s="33" t="s">
        <v>144</v>
      </c>
      <c r="D90" s="33"/>
      <c r="E90" s="42" t="s">
        <v>59</v>
      </c>
      <c r="F90" s="42"/>
      <c r="G90" s="5">
        <v>2</v>
      </c>
      <c r="H90" s="5"/>
      <c r="I90" s="5">
        <v>3</v>
      </c>
      <c r="J90" s="5">
        <v>3</v>
      </c>
      <c r="K90" s="5">
        <v>3</v>
      </c>
      <c r="L90" s="5">
        <v>3</v>
      </c>
      <c r="M90" s="5">
        <v>3</v>
      </c>
      <c r="N90" s="5">
        <v>3</v>
      </c>
      <c r="O90" s="5">
        <v>3</v>
      </c>
      <c r="P90" s="5">
        <v>2</v>
      </c>
      <c r="Q90" s="5">
        <v>2</v>
      </c>
      <c r="R90" s="3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12"/>
    </row>
    <row r="91" spans="1:30" x14ac:dyDescent="0.3">
      <c r="A91" s="63"/>
      <c r="B91" s="53"/>
      <c r="C91" s="28"/>
      <c r="D91" s="29"/>
      <c r="E91" s="28"/>
      <c r="F91" s="2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24">
        <v>-1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12"/>
    </row>
    <row r="92" spans="1:30" x14ac:dyDescent="0.3">
      <c r="A92" s="63"/>
      <c r="B92" s="53"/>
      <c r="C92" s="33" t="s">
        <v>145</v>
      </c>
      <c r="D92" s="33"/>
      <c r="E92" s="42" t="s">
        <v>53</v>
      </c>
      <c r="F92" s="42"/>
      <c r="G92" s="5">
        <v>3</v>
      </c>
      <c r="H92" s="5"/>
      <c r="I92" s="5">
        <v>3</v>
      </c>
      <c r="J92" s="5">
        <v>3</v>
      </c>
      <c r="K92" s="5">
        <v>3</v>
      </c>
      <c r="L92" s="5">
        <v>3</v>
      </c>
      <c r="M92" s="5">
        <v>3</v>
      </c>
      <c r="N92" s="5">
        <v>3</v>
      </c>
      <c r="O92" s="5">
        <v>3</v>
      </c>
      <c r="P92" s="5">
        <v>2</v>
      </c>
      <c r="Q92" s="5">
        <v>1</v>
      </c>
      <c r="R92" s="3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spans="1:30" x14ac:dyDescent="0.3">
      <c r="A93" s="63"/>
      <c r="B93" s="53"/>
      <c r="C93" s="33" t="s">
        <v>146</v>
      </c>
      <c r="D93" s="33"/>
      <c r="E93" s="42" t="s">
        <v>60</v>
      </c>
      <c r="F93" s="42"/>
      <c r="G93" s="5">
        <v>2</v>
      </c>
      <c r="H93" s="5"/>
      <c r="I93" s="5">
        <v>2</v>
      </c>
      <c r="J93" s="5">
        <v>2</v>
      </c>
      <c r="K93" s="5">
        <v>2</v>
      </c>
      <c r="L93" s="5">
        <v>2</v>
      </c>
      <c r="M93" s="5">
        <v>2</v>
      </c>
      <c r="N93" s="5">
        <v>2</v>
      </c>
      <c r="O93" s="5">
        <v>2</v>
      </c>
      <c r="P93" s="5">
        <v>2</v>
      </c>
      <c r="Q93" s="5">
        <v>1</v>
      </c>
      <c r="R93" s="3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30" x14ac:dyDescent="0.3">
      <c r="A94" s="63"/>
      <c r="B94" s="53"/>
      <c r="C94" s="34" t="s">
        <v>147</v>
      </c>
      <c r="D94" s="35"/>
      <c r="E94" s="42" t="s">
        <v>62</v>
      </c>
      <c r="F94" s="42"/>
      <c r="G94" s="5">
        <v>3</v>
      </c>
      <c r="H94" s="5"/>
      <c r="I94" s="5">
        <v>3</v>
      </c>
      <c r="J94" s="5">
        <v>3</v>
      </c>
      <c r="K94" s="5">
        <v>3</v>
      </c>
      <c r="L94" s="5">
        <v>3</v>
      </c>
      <c r="M94" s="5">
        <v>3</v>
      </c>
      <c r="N94" s="5">
        <v>3</v>
      </c>
      <c r="O94" s="5">
        <v>3</v>
      </c>
      <c r="P94" s="5">
        <v>3</v>
      </c>
      <c r="Q94" s="5">
        <v>2</v>
      </c>
      <c r="R94" s="5">
        <v>1</v>
      </c>
      <c r="S94" s="3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30" x14ac:dyDescent="0.3">
      <c r="A95" s="63"/>
      <c r="B95" s="43" t="s">
        <v>23</v>
      </c>
      <c r="C95" s="33" t="s">
        <v>148</v>
      </c>
      <c r="D95" s="33"/>
      <c r="E95" s="42" t="s">
        <v>53</v>
      </c>
      <c r="F95" s="42"/>
      <c r="G95" s="5">
        <v>10</v>
      </c>
      <c r="H95" s="5"/>
      <c r="I95" s="5">
        <v>10</v>
      </c>
      <c r="J95" s="5">
        <v>10</v>
      </c>
      <c r="K95" s="5">
        <v>10</v>
      </c>
      <c r="L95" s="5">
        <v>10</v>
      </c>
      <c r="M95" s="5">
        <v>10</v>
      </c>
      <c r="N95" s="5">
        <v>10</v>
      </c>
      <c r="O95" s="5">
        <v>10</v>
      </c>
      <c r="P95" s="5">
        <v>8</v>
      </c>
      <c r="Q95" s="5">
        <v>6</v>
      </c>
      <c r="R95" s="5">
        <v>4</v>
      </c>
      <c r="S95" s="5">
        <v>2</v>
      </c>
      <c r="T95" s="3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30" x14ac:dyDescent="0.3">
      <c r="A96" s="63"/>
      <c r="B96" s="53"/>
      <c r="C96" s="33" t="s">
        <v>149</v>
      </c>
      <c r="D96" s="33"/>
      <c r="E96" s="42" t="s">
        <v>62</v>
      </c>
      <c r="F96" s="42"/>
      <c r="G96" s="5">
        <v>10</v>
      </c>
      <c r="H96" s="5"/>
      <c r="I96" s="5">
        <v>10</v>
      </c>
      <c r="J96" s="5">
        <v>10</v>
      </c>
      <c r="K96" s="5">
        <v>10</v>
      </c>
      <c r="L96" s="5">
        <v>10</v>
      </c>
      <c r="M96" s="5">
        <v>10</v>
      </c>
      <c r="N96" s="5">
        <v>10</v>
      </c>
      <c r="O96" s="5">
        <v>10</v>
      </c>
      <c r="P96" s="5">
        <v>8</v>
      </c>
      <c r="Q96" s="5">
        <v>6</v>
      </c>
      <c r="R96" s="5">
        <v>4</v>
      </c>
      <c r="S96" s="5">
        <v>2</v>
      </c>
      <c r="T96" s="3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spans="1:29" x14ac:dyDescent="0.3">
      <c r="A97" s="63"/>
      <c r="B97" s="53"/>
      <c r="C97" s="33" t="s">
        <v>150</v>
      </c>
      <c r="D97" s="33"/>
      <c r="E97" s="28" t="s">
        <v>59</v>
      </c>
      <c r="F97" s="29"/>
      <c r="G97" s="5">
        <v>9</v>
      </c>
      <c r="H97" s="5"/>
      <c r="I97" s="5">
        <v>8</v>
      </c>
      <c r="J97" s="5">
        <v>8</v>
      </c>
      <c r="K97" s="5">
        <v>8</v>
      </c>
      <c r="L97" s="5">
        <v>8</v>
      </c>
      <c r="M97" s="5">
        <v>8</v>
      </c>
      <c r="N97" s="5">
        <v>8</v>
      </c>
      <c r="O97" s="5">
        <v>8</v>
      </c>
      <c r="P97" s="5">
        <v>8</v>
      </c>
      <c r="Q97" s="5">
        <v>8</v>
      </c>
      <c r="R97" s="5">
        <v>6</v>
      </c>
      <c r="S97" s="5">
        <v>4</v>
      </c>
      <c r="T97" s="5">
        <v>2</v>
      </c>
      <c r="U97" s="3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3">
      <c r="A98" s="63"/>
      <c r="B98" s="53"/>
      <c r="C98" s="28"/>
      <c r="D98" s="29"/>
      <c r="E98" s="28"/>
      <c r="F98" s="2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25">
        <v>1</v>
      </c>
      <c r="V98" s="5"/>
      <c r="W98" s="5"/>
      <c r="X98" s="5"/>
      <c r="Y98" s="5"/>
      <c r="Z98" s="5"/>
      <c r="AA98" s="5"/>
      <c r="AB98" s="5"/>
      <c r="AC98" s="5"/>
    </row>
    <row r="99" spans="1:29" x14ac:dyDescent="0.3">
      <c r="A99" s="63"/>
      <c r="B99" s="53"/>
      <c r="C99" s="33" t="s">
        <v>151</v>
      </c>
      <c r="D99" s="33"/>
      <c r="E99" s="28" t="s">
        <v>60</v>
      </c>
      <c r="F99" s="29"/>
      <c r="G99" s="5">
        <v>8</v>
      </c>
      <c r="H99" s="5"/>
      <c r="I99" s="5">
        <v>8</v>
      </c>
      <c r="J99" s="5">
        <v>8</v>
      </c>
      <c r="K99" s="5">
        <v>8</v>
      </c>
      <c r="L99" s="5">
        <v>8</v>
      </c>
      <c r="M99" s="5">
        <v>8</v>
      </c>
      <c r="N99" s="5">
        <v>8</v>
      </c>
      <c r="O99" s="5">
        <v>8</v>
      </c>
      <c r="P99" s="5">
        <v>8</v>
      </c>
      <c r="Q99" s="5">
        <v>8</v>
      </c>
      <c r="R99" s="5">
        <v>6</v>
      </c>
      <c r="S99" s="5">
        <v>4</v>
      </c>
      <c r="T99" s="5">
        <v>2</v>
      </c>
      <c r="U99" s="3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3">
      <c r="A100" s="63"/>
      <c r="B100" s="53"/>
      <c r="C100" s="33" t="s">
        <v>152</v>
      </c>
      <c r="D100" s="33"/>
      <c r="E100" s="28" t="s">
        <v>61</v>
      </c>
      <c r="F100" s="29"/>
      <c r="G100" s="5">
        <v>12</v>
      </c>
      <c r="H100" s="5"/>
      <c r="I100" s="5">
        <v>12</v>
      </c>
      <c r="J100" s="5">
        <v>12</v>
      </c>
      <c r="K100" s="5">
        <v>12</v>
      </c>
      <c r="L100" s="5">
        <v>12</v>
      </c>
      <c r="M100" s="5">
        <v>12</v>
      </c>
      <c r="N100" s="5">
        <v>12</v>
      </c>
      <c r="O100" s="5">
        <v>12</v>
      </c>
      <c r="P100" s="5">
        <v>12</v>
      </c>
      <c r="Q100" s="5">
        <v>12</v>
      </c>
      <c r="R100" s="5">
        <v>12</v>
      </c>
      <c r="S100" s="5">
        <v>8</v>
      </c>
      <c r="T100" s="5">
        <v>6</v>
      </c>
      <c r="U100" s="5">
        <v>4</v>
      </c>
      <c r="V100" s="5">
        <v>2</v>
      </c>
      <c r="W100" s="3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spans="1:29" x14ac:dyDescent="0.3">
      <c r="A101" s="63"/>
      <c r="B101" s="53"/>
      <c r="C101" s="33" t="s">
        <v>153</v>
      </c>
      <c r="D101" s="33"/>
      <c r="E101" s="42" t="s">
        <v>53</v>
      </c>
      <c r="F101" s="42"/>
      <c r="G101" s="5">
        <v>11</v>
      </c>
      <c r="H101" s="5"/>
      <c r="I101" s="5">
        <v>12</v>
      </c>
      <c r="J101" s="5">
        <v>12</v>
      </c>
      <c r="K101" s="5">
        <v>12</v>
      </c>
      <c r="L101" s="5">
        <v>12</v>
      </c>
      <c r="M101" s="5">
        <v>12</v>
      </c>
      <c r="N101" s="5">
        <v>12</v>
      </c>
      <c r="O101" s="5">
        <v>12</v>
      </c>
      <c r="P101" s="5">
        <v>12</v>
      </c>
      <c r="Q101" s="5">
        <v>12</v>
      </c>
      <c r="R101" s="5">
        <v>12</v>
      </c>
      <c r="S101" s="5">
        <v>8</v>
      </c>
      <c r="T101" s="5">
        <v>6</v>
      </c>
      <c r="U101" s="5">
        <v>4</v>
      </c>
      <c r="V101" s="5">
        <v>2</v>
      </c>
      <c r="W101" s="3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spans="1:29" x14ac:dyDescent="0.3">
      <c r="A102" s="63"/>
      <c r="B102" s="53"/>
      <c r="C102" s="28"/>
      <c r="D102" s="29"/>
      <c r="E102" s="28"/>
      <c r="F102" s="29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24">
        <v>-1</v>
      </c>
      <c r="X102" s="5"/>
      <c r="Y102" s="5"/>
      <c r="Z102" s="5"/>
      <c r="AA102" s="5"/>
      <c r="AB102" s="5"/>
      <c r="AC102" s="5"/>
    </row>
    <row r="103" spans="1:29" x14ac:dyDescent="0.3">
      <c r="A103" s="63"/>
      <c r="B103" s="44"/>
      <c r="C103" s="33" t="s">
        <v>32</v>
      </c>
      <c r="D103" s="33"/>
      <c r="E103" s="42" t="s">
        <v>34</v>
      </c>
      <c r="F103" s="42"/>
      <c r="G103" s="5">
        <v>20</v>
      </c>
      <c r="H103" s="5"/>
      <c r="I103" s="5">
        <v>20</v>
      </c>
      <c r="J103" s="5">
        <v>20</v>
      </c>
      <c r="K103" s="5">
        <v>20</v>
      </c>
      <c r="L103" s="5">
        <v>20</v>
      </c>
      <c r="M103" s="5">
        <v>20</v>
      </c>
      <c r="N103" s="5">
        <v>20</v>
      </c>
      <c r="O103" s="5">
        <v>20</v>
      </c>
      <c r="P103" s="5">
        <v>18</v>
      </c>
      <c r="Q103" s="5">
        <v>16</v>
      </c>
      <c r="R103" s="5">
        <v>14</v>
      </c>
      <c r="S103" s="5">
        <v>12</v>
      </c>
      <c r="T103" s="5">
        <v>10</v>
      </c>
      <c r="U103" s="5">
        <v>8</v>
      </c>
      <c r="V103" s="5">
        <v>4</v>
      </c>
      <c r="W103" s="5">
        <v>2</v>
      </c>
      <c r="X103" s="3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spans="1:29" x14ac:dyDescent="0.3">
      <c r="A104" s="63"/>
      <c r="B104" s="43" t="s">
        <v>24</v>
      </c>
      <c r="C104" s="33" t="s">
        <v>154</v>
      </c>
      <c r="D104" s="33"/>
      <c r="E104" s="42" t="s">
        <v>61</v>
      </c>
      <c r="F104" s="42"/>
      <c r="G104" s="5">
        <v>4</v>
      </c>
      <c r="H104" s="5"/>
      <c r="I104" s="5">
        <v>4</v>
      </c>
      <c r="J104" s="5">
        <v>4</v>
      </c>
      <c r="K104" s="5">
        <v>4</v>
      </c>
      <c r="L104" s="5">
        <v>4</v>
      </c>
      <c r="M104" s="5">
        <v>4</v>
      </c>
      <c r="N104" s="5">
        <v>4</v>
      </c>
      <c r="O104" s="5">
        <v>4</v>
      </c>
      <c r="P104" s="5">
        <v>4</v>
      </c>
      <c r="Q104" s="5">
        <v>4</v>
      </c>
      <c r="R104" s="5">
        <v>4</v>
      </c>
      <c r="S104" s="5">
        <v>4</v>
      </c>
      <c r="T104" s="5">
        <v>4</v>
      </c>
      <c r="U104" s="5">
        <v>4</v>
      </c>
      <c r="V104" s="5">
        <v>4</v>
      </c>
      <c r="W104" s="5">
        <v>4</v>
      </c>
      <c r="X104" s="5">
        <v>2</v>
      </c>
      <c r="Y104" s="5">
        <v>1</v>
      </c>
      <c r="Z104" s="3">
        <v>0</v>
      </c>
      <c r="AA104" s="5">
        <v>0</v>
      </c>
      <c r="AB104" s="5">
        <v>0</v>
      </c>
      <c r="AC104" s="5">
        <v>0</v>
      </c>
    </row>
    <row r="105" spans="1:29" x14ac:dyDescent="0.3">
      <c r="A105" s="63"/>
      <c r="B105" s="53"/>
      <c r="C105" s="33" t="s">
        <v>155</v>
      </c>
      <c r="D105" s="33"/>
      <c r="E105" s="42" t="s">
        <v>59</v>
      </c>
      <c r="F105" s="42"/>
      <c r="G105" s="5">
        <v>2</v>
      </c>
      <c r="H105" s="5"/>
      <c r="I105" s="5">
        <v>2</v>
      </c>
      <c r="J105" s="5">
        <v>2</v>
      </c>
      <c r="K105" s="5">
        <v>2</v>
      </c>
      <c r="L105" s="5">
        <v>2</v>
      </c>
      <c r="M105" s="5">
        <v>2</v>
      </c>
      <c r="N105" s="5">
        <v>2</v>
      </c>
      <c r="O105" s="5">
        <v>2</v>
      </c>
      <c r="P105" s="5">
        <v>2</v>
      </c>
      <c r="Q105" s="5">
        <v>2</v>
      </c>
      <c r="R105" s="5">
        <v>2</v>
      </c>
      <c r="S105" s="5">
        <v>2</v>
      </c>
      <c r="T105" s="5">
        <v>2</v>
      </c>
      <c r="U105" s="5">
        <v>2</v>
      </c>
      <c r="V105" s="5">
        <v>2</v>
      </c>
      <c r="W105" s="5">
        <v>2</v>
      </c>
      <c r="X105" s="5">
        <v>2</v>
      </c>
      <c r="Y105" s="5">
        <v>1</v>
      </c>
      <c r="Z105" s="3">
        <v>0</v>
      </c>
      <c r="AA105" s="5">
        <v>0</v>
      </c>
      <c r="AB105" s="5">
        <v>0</v>
      </c>
      <c r="AC105" s="5">
        <v>0</v>
      </c>
    </row>
    <row r="106" spans="1:29" x14ac:dyDescent="0.3">
      <c r="A106" s="63"/>
      <c r="B106" s="53"/>
      <c r="C106" s="33" t="s">
        <v>156</v>
      </c>
      <c r="D106" s="33"/>
      <c r="E106" s="42" t="s">
        <v>59</v>
      </c>
      <c r="F106" s="42"/>
      <c r="G106" s="5">
        <v>2</v>
      </c>
      <c r="H106" s="5"/>
      <c r="I106" s="5">
        <v>2</v>
      </c>
      <c r="J106" s="5">
        <v>2</v>
      </c>
      <c r="K106" s="5">
        <v>2</v>
      </c>
      <c r="L106" s="5">
        <v>2</v>
      </c>
      <c r="M106" s="5">
        <v>2</v>
      </c>
      <c r="N106" s="5">
        <v>2</v>
      </c>
      <c r="O106" s="5">
        <v>2</v>
      </c>
      <c r="P106" s="5">
        <v>2</v>
      </c>
      <c r="Q106" s="5">
        <v>2</v>
      </c>
      <c r="R106" s="5">
        <v>2</v>
      </c>
      <c r="S106" s="5">
        <v>2</v>
      </c>
      <c r="T106" s="5">
        <v>2</v>
      </c>
      <c r="U106" s="5">
        <v>2</v>
      </c>
      <c r="V106" s="5">
        <v>2</v>
      </c>
      <c r="W106" s="5">
        <v>2</v>
      </c>
      <c r="X106" s="5">
        <v>2</v>
      </c>
      <c r="Y106" s="5">
        <v>1</v>
      </c>
      <c r="Z106" s="3">
        <v>0</v>
      </c>
      <c r="AA106" s="5">
        <v>0</v>
      </c>
      <c r="AB106" s="5">
        <v>0</v>
      </c>
      <c r="AC106" s="5">
        <v>0</v>
      </c>
    </row>
    <row r="107" spans="1:29" x14ac:dyDescent="0.3">
      <c r="A107" s="63"/>
      <c r="B107" s="53"/>
      <c r="C107" s="33" t="s">
        <v>157</v>
      </c>
      <c r="D107" s="33"/>
      <c r="E107" s="42" t="s">
        <v>53</v>
      </c>
      <c r="F107" s="42"/>
      <c r="G107" s="5">
        <v>5</v>
      </c>
      <c r="H107" s="5"/>
      <c r="I107" s="5">
        <v>4</v>
      </c>
      <c r="J107" s="5">
        <v>4</v>
      </c>
      <c r="K107" s="5">
        <v>4</v>
      </c>
      <c r="L107" s="5">
        <v>4</v>
      </c>
      <c r="M107" s="5">
        <v>4</v>
      </c>
      <c r="N107" s="5">
        <v>4</v>
      </c>
      <c r="O107" s="5">
        <v>4</v>
      </c>
      <c r="P107" s="5">
        <v>4</v>
      </c>
      <c r="Q107" s="5">
        <v>4</v>
      </c>
      <c r="R107" s="5">
        <v>4</v>
      </c>
      <c r="S107" s="5">
        <v>4</v>
      </c>
      <c r="T107" s="5">
        <v>4</v>
      </c>
      <c r="U107" s="5">
        <v>4</v>
      </c>
      <c r="V107" s="5">
        <v>4</v>
      </c>
      <c r="W107" s="5">
        <v>3</v>
      </c>
      <c r="X107" s="5">
        <v>2</v>
      </c>
      <c r="Y107" s="5">
        <v>1</v>
      </c>
      <c r="Z107" s="3">
        <v>0</v>
      </c>
      <c r="AA107" s="5">
        <v>0</v>
      </c>
      <c r="AB107" s="5">
        <v>0</v>
      </c>
      <c r="AC107" s="5">
        <v>0</v>
      </c>
    </row>
    <row r="108" spans="1:29" x14ac:dyDescent="0.3">
      <c r="A108" s="63"/>
      <c r="B108" s="53"/>
      <c r="C108" s="28"/>
      <c r="D108" s="29"/>
      <c r="E108" s="28"/>
      <c r="F108" s="2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25">
        <v>1</v>
      </c>
      <c r="AA108" s="5"/>
      <c r="AB108" s="5"/>
      <c r="AC108" s="5"/>
    </row>
    <row r="109" spans="1:29" x14ac:dyDescent="0.3">
      <c r="A109" s="63"/>
      <c r="B109" s="53"/>
      <c r="C109" s="33" t="s">
        <v>158</v>
      </c>
      <c r="D109" s="33"/>
      <c r="E109" s="42" t="s">
        <v>60</v>
      </c>
      <c r="F109" s="42"/>
      <c r="G109" s="5">
        <v>4</v>
      </c>
      <c r="H109" s="5"/>
      <c r="I109" s="5">
        <v>4</v>
      </c>
      <c r="J109" s="5">
        <v>4</v>
      </c>
      <c r="K109" s="5">
        <v>4</v>
      </c>
      <c r="L109" s="5">
        <v>4</v>
      </c>
      <c r="M109" s="5">
        <v>4</v>
      </c>
      <c r="N109" s="5">
        <v>4</v>
      </c>
      <c r="O109" s="5">
        <v>4</v>
      </c>
      <c r="P109" s="5">
        <v>4</v>
      </c>
      <c r="Q109" s="5">
        <v>4</v>
      </c>
      <c r="R109" s="5">
        <v>4</v>
      </c>
      <c r="S109" s="5">
        <v>4</v>
      </c>
      <c r="T109" s="5">
        <v>4</v>
      </c>
      <c r="U109" s="5">
        <v>4</v>
      </c>
      <c r="V109" s="5">
        <v>4</v>
      </c>
      <c r="W109" s="5">
        <v>3</v>
      </c>
      <c r="X109" s="5">
        <v>2</v>
      </c>
      <c r="Y109" s="5">
        <v>1</v>
      </c>
      <c r="Z109" s="3">
        <v>0</v>
      </c>
      <c r="AA109" s="5">
        <v>0</v>
      </c>
      <c r="AB109" s="5">
        <v>0</v>
      </c>
      <c r="AC109" s="5">
        <v>0</v>
      </c>
    </row>
    <row r="110" spans="1:29" x14ac:dyDescent="0.3">
      <c r="A110" s="63"/>
      <c r="B110" s="53"/>
      <c r="C110" s="34" t="s">
        <v>159</v>
      </c>
      <c r="D110" s="35"/>
      <c r="E110" s="42" t="s">
        <v>62</v>
      </c>
      <c r="F110" s="42"/>
      <c r="G110" s="5">
        <v>4</v>
      </c>
      <c r="H110" s="5"/>
      <c r="I110" s="5">
        <v>4</v>
      </c>
      <c r="J110" s="5">
        <v>4</v>
      </c>
      <c r="K110" s="5">
        <v>4</v>
      </c>
      <c r="L110" s="5">
        <v>4</v>
      </c>
      <c r="M110" s="5">
        <v>4</v>
      </c>
      <c r="N110" s="5">
        <v>4</v>
      </c>
      <c r="O110" s="5">
        <v>4</v>
      </c>
      <c r="P110" s="5">
        <v>4</v>
      </c>
      <c r="Q110" s="5">
        <v>4</v>
      </c>
      <c r="R110" s="5">
        <v>4</v>
      </c>
      <c r="S110" s="5">
        <v>4</v>
      </c>
      <c r="T110" s="5">
        <v>4</v>
      </c>
      <c r="U110" s="5">
        <v>4</v>
      </c>
      <c r="V110" s="5">
        <v>4</v>
      </c>
      <c r="W110" s="5">
        <v>3</v>
      </c>
      <c r="X110" s="5">
        <v>2</v>
      </c>
      <c r="Y110" s="5">
        <v>1</v>
      </c>
      <c r="Z110" s="3">
        <v>0</v>
      </c>
      <c r="AA110" s="5">
        <v>0</v>
      </c>
      <c r="AB110" s="5">
        <v>0</v>
      </c>
      <c r="AC110" s="5">
        <v>0</v>
      </c>
    </row>
    <row r="111" spans="1:29" x14ac:dyDescent="0.3">
      <c r="A111" s="63"/>
      <c r="B111" s="43" t="s">
        <v>25</v>
      </c>
      <c r="C111" s="33" t="s">
        <v>160</v>
      </c>
      <c r="D111" s="33"/>
      <c r="E111" s="42" t="s">
        <v>53</v>
      </c>
      <c r="F111" s="42"/>
      <c r="G111" s="5">
        <v>2</v>
      </c>
      <c r="H111" s="5"/>
      <c r="I111" s="5">
        <v>2</v>
      </c>
      <c r="J111" s="5">
        <v>2</v>
      </c>
      <c r="K111" s="5">
        <v>2</v>
      </c>
      <c r="L111" s="5">
        <v>2</v>
      </c>
      <c r="M111" s="5">
        <v>2</v>
      </c>
      <c r="N111" s="5">
        <v>2</v>
      </c>
      <c r="O111" s="5">
        <v>2</v>
      </c>
      <c r="P111" s="5">
        <v>2</v>
      </c>
      <c r="Q111" s="5">
        <v>2</v>
      </c>
      <c r="R111" s="5">
        <v>2</v>
      </c>
      <c r="S111" s="5">
        <v>2</v>
      </c>
      <c r="T111" s="5">
        <v>2</v>
      </c>
      <c r="U111" s="5">
        <v>2</v>
      </c>
      <c r="V111" s="5">
        <v>2</v>
      </c>
      <c r="W111" s="5">
        <v>2</v>
      </c>
      <c r="X111" s="5">
        <v>2</v>
      </c>
      <c r="Y111" s="5">
        <v>2</v>
      </c>
      <c r="Z111" s="5">
        <v>1</v>
      </c>
      <c r="AA111" s="3">
        <v>0</v>
      </c>
      <c r="AB111" s="5">
        <v>0</v>
      </c>
      <c r="AC111" s="5">
        <v>0</v>
      </c>
    </row>
    <row r="112" spans="1:29" x14ac:dyDescent="0.3">
      <c r="A112" s="63"/>
      <c r="B112" s="53"/>
      <c r="C112" s="33" t="s">
        <v>161</v>
      </c>
      <c r="D112" s="33"/>
      <c r="E112" s="42" t="s">
        <v>60</v>
      </c>
      <c r="F112" s="42"/>
      <c r="G112" s="5">
        <v>4</v>
      </c>
      <c r="H112" s="5"/>
      <c r="I112" s="5">
        <v>4</v>
      </c>
      <c r="J112" s="5">
        <v>4</v>
      </c>
      <c r="K112" s="5">
        <v>4</v>
      </c>
      <c r="L112" s="5">
        <v>4</v>
      </c>
      <c r="M112" s="5">
        <v>4</v>
      </c>
      <c r="N112" s="5">
        <v>4</v>
      </c>
      <c r="O112" s="5">
        <v>4</v>
      </c>
      <c r="P112" s="5">
        <v>4</v>
      </c>
      <c r="Q112" s="5">
        <v>4</v>
      </c>
      <c r="R112" s="5">
        <v>4</v>
      </c>
      <c r="S112" s="5">
        <v>4</v>
      </c>
      <c r="T112" s="5">
        <v>4</v>
      </c>
      <c r="U112" s="5">
        <v>4</v>
      </c>
      <c r="V112" s="5">
        <v>4</v>
      </c>
      <c r="W112" s="5">
        <v>4</v>
      </c>
      <c r="X112" s="5">
        <v>3</v>
      </c>
      <c r="Y112" s="5">
        <v>2</v>
      </c>
      <c r="Z112" s="5">
        <v>1</v>
      </c>
      <c r="AA112" s="3">
        <v>0</v>
      </c>
      <c r="AB112" s="5">
        <v>0</v>
      </c>
      <c r="AC112" s="5">
        <v>0</v>
      </c>
    </row>
    <row r="113" spans="1:29" x14ac:dyDescent="0.3">
      <c r="A113" s="63"/>
      <c r="B113" s="53"/>
      <c r="C113" s="33" t="s">
        <v>162</v>
      </c>
      <c r="D113" s="33"/>
      <c r="E113" s="42" t="s">
        <v>53</v>
      </c>
      <c r="F113" s="42"/>
      <c r="G113" s="5">
        <v>2</v>
      </c>
      <c r="H113" s="5"/>
      <c r="I113" s="5">
        <v>2</v>
      </c>
      <c r="J113" s="5">
        <v>2</v>
      </c>
      <c r="K113" s="5">
        <v>2</v>
      </c>
      <c r="L113" s="5">
        <v>2</v>
      </c>
      <c r="M113" s="5">
        <v>2</v>
      </c>
      <c r="N113" s="5">
        <v>2</v>
      </c>
      <c r="O113" s="5">
        <v>2</v>
      </c>
      <c r="P113" s="5">
        <v>2</v>
      </c>
      <c r="Q113" s="5">
        <v>2</v>
      </c>
      <c r="R113" s="5">
        <v>2</v>
      </c>
      <c r="S113" s="5">
        <v>2</v>
      </c>
      <c r="T113" s="5">
        <v>2</v>
      </c>
      <c r="U113" s="5">
        <v>2</v>
      </c>
      <c r="V113" s="5">
        <v>2</v>
      </c>
      <c r="W113" s="5">
        <v>2</v>
      </c>
      <c r="X113" s="5">
        <v>2</v>
      </c>
      <c r="Y113" s="5">
        <v>2</v>
      </c>
      <c r="Z113" s="5">
        <v>1</v>
      </c>
      <c r="AA113" s="3">
        <v>0</v>
      </c>
      <c r="AB113" s="5">
        <v>0</v>
      </c>
      <c r="AC113" s="5">
        <v>0</v>
      </c>
    </row>
    <row r="114" spans="1:29" x14ac:dyDescent="0.3">
      <c r="A114" s="63"/>
      <c r="B114" s="53"/>
      <c r="C114" s="33" t="s">
        <v>163</v>
      </c>
      <c r="D114" s="33"/>
      <c r="E114" s="42" t="s">
        <v>59</v>
      </c>
      <c r="F114" s="42"/>
      <c r="G114" s="5">
        <v>3</v>
      </c>
      <c r="H114" s="5"/>
      <c r="I114" s="5">
        <v>4</v>
      </c>
      <c r="J114" s="5">
        <v>4</v>
      </c>
      <c r="K114" s="5">
        <v>4</v>
      </c>
      <c r="L114" s="5">
        <v>4</v>
      </c>
      <c r="M114" s="5">
        <v>4</v>
      </c>
      <c r="N114" s="5">
        <v>4</v>
      </c>
      <c r="O114" s="5">
        <v>4</v>
      </c>
      <c r="P114" s="5">
        <v>4</v>
      </c>
      <c r="Q114" s="5">
        <v>4</v>
      </c>
      <c r="R114" s="5">
        <v>4</v>
      </c>
      <c r="S114" s="5">
        <v>4</v>
      </c>
      <c r="T114" s="5">
        <v>4</v>
      </c>
      <c r="U114" s="5">
        <v>4</v>
      </c>
      <c r="V114" s="5">
        <v>4</v>
      </c>
      <c r="W114" s="5">
        <v>4</v>
      </c>
      <c r="X114" s="5">
        <v>4</v>
      </c>
      <c r="Y114" s="5">
        <v>4</v>
      </c>
      <c r="Z114" s="5">
        <v>3</v>
      </c>
      <c r="AA114" s="3">
        <v>0</v>
      </c>
      <c r="AB114" s="5">
        <v>0</v>
      </c>
      <c r="AC114" s="5">
        <v>0</v>
      </c>
    </row>
    <row r="115" spans="1:29" x14ac:dyDescent="0.3">
      <c r="A115" s="63"/>
      <c r="B115" s="53"/>
      <c r="C115" s="28"/>
      <c r="D115" s="29"/>
      <c r="E115" s="28"/>
      <c r="F115" s="29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24">
        <v>-1</v>
      </c>
      <c r="AB115" s="5"/>
      <c r="AC115" s="5"/>
    </row>
    <row r="116" spans="1:29" x14ac:dyDescent="0.3">
      <c r="A116" s="63"/>
      <c r="B116" s="53"/>
      <c r="C116" s="33" t="s">
        <v>164</v>
      </c>
      <c r="D116" s="33"/>
      <c r="E116" s="42" t="s">
        <v>62</v>
      </c>
      <c r="F116" s="42"/>
      <c r="G116" s="5">
        <v>4</v>
      </c>
      <c r="H116" s="5"/>
      <c r="I116" s="5">
        <v>4</v>
      </c>
      <c r="J116" s="5">
        <v>4</v>
      </c>
      <c r="K116" s="5">
        <v>4</v>
      </c>
      <c r="L116" s="5">
        <v>4</v>
      </c>
      <c r="M116" s="5">
        <v>4</v>
      </c>
      <c r="N116" s="5">
        <v>4</v>
      </c>
      <c r="O116" s="5">
        <v>4</v>
      </c>
      <c r="P116" s="5">
        <v>4</v>
      </c>
      <c r="Q116" s="5">
        <v>4</v>
      </c>
      <c r="R116" s="5">
        <v>4</v>
      </c>
      <c r="S116" s="5">
        <v>4</v>
      </c>
      <c r="T116" s="5">
        <v>4</v>
      </c>
      <c r="U116" s="5">
        <v>4</v>
      </c>
      <c r="V116" s="5">
        <v>4</v>
      </c>
      <c r="W116" s="5">
        <v>4</v>
      </c>
      <c r="X116" s="5">
        <v>3</v>
      </c>
      <c r="Y116" s="5">
        <v>2</v>
      </c>
      <c r="Z116" s="5">
        <v>1</v>
      </c>
      <c r="AA116" s="3">
        <v>0</v>
      </c>
      <c r="AB116" s="5">
        <v>0</v>
      </c>
      <c r="AC116" s="5">
        <v>0</v>
      </c>
    </row>
    <row r="117" spans="1:29" x14ac:dyDescent="0.3">
      <c r="A117" s="63"/>
      <c r="B117" s="53"/>
      <c r="C117" s="34" t="s">
        <v>165</v>
      </c>
      <c r="D117" s="35"/>
      <c r="E117" s="42" t="s">
        <v>61</v>
      </c>
      <c r="F117" s="42"/>
      <c r="G117" s="5">
        <v>4</v>
      </c>
      <c r="H117" s="5"/>
      <c r="I117" s="5">
        <v>4</v>
      </c>
      <c r="J117" s="5">
        <v>4</v>
      </c>
      <c r="K117" s="5">
        <v>4</v>
      </c>
      <c r="L117" s="5">
        <v>4</v>
      </c>
      <c r="M117" s="5">
        <v>4</v>
      </c>
      <c r="N117" s="5">
        <v>4</v>
      </c>
      <c r="O117" s="5">
        <v>4</v>
      </c>
      <c r="P117" s="5">
        <v>4</v>
      </c>
      <c r="Q117" s="5">
        <v>4</v>
      </c>
      <c r="R117" s="5">
        <v>4</v>
      </c>
      <c r="S117" s="5">
        <v>4</v>
      </c>
      <c r="T117" s="5">
        <v>4</v>
      </c>
      <c r="U117" s="5">
        <v>4</v>
      </c>
      <c r="V117" s="5">
        <v>4</v>
      </c>
      <c r="W117" s="5">
        <v>4</v>
      </c>
      <c r="X117" s="5">
        <v>3</v>
      </c>
      <c r="Y117" s="5">
        <v>2</v>
      </c>
      <c r="Z117" s="5">
        <v>1</v>
      </c>
      <c r="AA117" s="3">
        <v>0</v>
      </c>
      <c r="AB117" s="5">
        <v>0</v>
      </c>
      <c r="AC117" s="5">
        <v>0</v>
      </c>
    </row>
    <row r="118" spans="1:29" x14ac:dyDescent="0.3">
      <c r="A118" s="63"/>
      <c r="B118" s="43" t="s">
        <v>26</v>
      </c>
      <c r="C118" s="33" t="s">
        <v>166</v>
      </c>
      <c r="D118" s="33"/>
      <c r="E118" s="42" t="s">
        <v>61</v>
      </c>
      <c r="F118" s="42"/>
      <c r="G118" s="5">
        <v>4</v>
      </c>
      <c r="H118" s="5"/>
      <c r="I118" s="5">
        <v>4</v>
      </c>
      <c r="J118" s="5">
        <v>4</v>
      </c>
      <c r="K118" s="5">
        <v>4</v>
      </c>
      <c r="L118" s="5">
        <v>4</v>
      </c>
      <c r="M118" s="5">
        <v>4</v>
      </c>
      <c r="N118" s="5">
        <v>4</v>
      </c>
      <c r="O118" s="5">
        <v>4</v>
      </c>
      <c r="P118" s="5">
        <v>4</v>
      </c>
      <c r="Q118" s="5">
        <v>4</v>
      </c>
      <c r="R118" s="5">
        <v>4</v>
      </c>
      <c r="S118" s="5">
        <v>4</v>
      </c>
      <c r="T118" s="5">
        <v>4</v>
      </c>
      <c r="U118" s="5">
        <v>4</v>
      </c>
      <c r="V118" s="5">
        <v>4</v>
      </c>
      <c r="W118" s="5">
        <v>4</v>
      </c>
      <c r="X118" s="5">
        <v>4</v>
      </c>
      <c r="Y118" s="5">
        <v>3</v>
      </c>
      <c r="Z118" s="5">
        <v>2</v>
      </c>
      <c r="AA118" s="5">
        <v>1</v>
      </c>
      <c r="AB118" s="3">
        <v>0</v>
      </c>
      <c r="AC118" s="5">
        <v>0</v>
      </c>
    </row>
    <row r="119" spans="1:29" x14ac:dyDescent="0.3">
      <c r="A119" s="63"/>
      <c r="B119" s="53"/>
      <c r="C119" s="33" t="s">
        <v>167</v>
      </c>
      <c r="D119" s="33"/>
      <c r="E119" s="42" t="s">
        <v>59</v>
      </c>
      <c r="F119" s="42"/>
      <c r="G119" s="5">
        <v>2</v>
      </c>
      <c r="H119" s="5"/>
      <c r="I119" s="5">
        <v>2</v>
      </c>
      <c r="J119" s="5">
        <v>2</v>
      </c>
      <c r="K119" s="5">
        <v>2</v>
      </c>
      <c r="L119" s="5">
        <v>2</v>
      </c>
      <c r="M119" s="5">
        <v>2</v>
      </c>
      <c r="N119" s="5">
        <v>2</v>
      </c>
      <c r="O119" s="5">
        <v>2</v>
      </c>
      <c r="P119" s="5">
        <v>2</v>
      </c>
      <c r="Q119" s="5">
        <v>2</v>
      </c>
      <c r="R119" s="5">
        <v>2</v>
      </c>
      <c r="S119" s="5">
        <v>2</v>
      </c>
      <c r="T119" s="5">
        <v>2</v>
      </c>
      <c r="U119" s="5">
        <v>2</v>
      </c>
      <c r="V119" s="5">
        <v>2</v>
      </c>
      <c r="W119" s="5">
        <v>2</v>
      </c>
      <c r="X119" s="5">
        <v>2</v>
      </c>
      <c r="Y119" s="5">
        <v>2</v>
      </c>
      <c r="Z119" s="5">
        <v>2</v>
      </c>
      <c r="AA119" s="5">
        <v>1</v>
      </c>
      <c r="AB119" s="3">
        <v>0</v>
      </c>
      <c r="AC119" s="5">
        <v>0</v>
      </c>
    </row>
    <row r="120" spans="1:29" x14ac:dyDescent="0.3">
      <c r="A120" s="63"/>
      <c r="B120" s="53"/>
      <c r="C120" s="33" t="s">
        <v>168</v>
      </c>
      <c r="D120" s="33"/>
      <c r="E120" s="42" t="s">
        <v>59</v>
      </c>
      <c r="F120" s="42"/>
      <c r="G120" s="5">
        <v>2</v>
      </c>
      <c r="H120" s="5"/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3">
        <v>0</v>
      </c>
      <c r="AC120" s="5">
        <v>0</v>
      </c>
    </row>
    <row r="121" spans="1:29" x14ac:dyDescent="0.3">
      <c r="A121" s="63"/>
      <c r="B121" s="53"/>
      <c r="C121" s="33" t="s">
        <v>169</v>
      </c>
      <c r="D121" s="33"/>
      <c r="E121" s="42" t="s">
        <v>53</v>
      </c>
      <c r="F121" s="42"/>
      <c r="G121" s="5">
        <v>4</v>
      </c>
      <c r="H121" s="5"/>
      <c r="I121" s="5">
        <v>4</v>
      </c>
      <c r="J121" s="5">
        <v>4</v>
      </c>
      <c r="K121" s="5">
        <v>4</v>
      </c>
      <c r="L121" s="5">
        <v>4</v>
      </c>
      <c r="M121" s="5">
        <v>4</v>
      </c>
      <c r="N121" s="5">
        <v>4</v>
      </c>
      <c r="O121" s="5">
        <v>4</v>
      </c>
      <c r="P121" s="5">
        <v>4</v>
      </c>
      <c r="Q121" s="5">
        <v>4</v>
      </c>
      <c r="R121" s="5">
        <v>4</v>
      </c>
      <c r="S121" s="5">
        <v>4</v>
      </c>
      <c r="T121" s="5">
        <v>3</v>
      </c>
      <c r="U121" s="5">
        <v>3</v>
      </c>
      <c r="V121" s="5">
        <v>3</v>
      </c>
      <c r="W121" s="5">
        <v>3</v>
      </c>
      <c r="X121" s="5">
        <v>3</v>
      </c>
      <c r="Y121" s="5">
        <v>3</v>
      </c>
      <c r="Z121" s="5">
        <v>2</v>
      </c>
      <c r="AA121" s="5">
        <v>1</v>
      </c>
      <c r="AB121" s="3">
        <v>0</v>
      </c>
      <c r="AC121" s="5">
        <v>0</v>
      </c>
    </row>
    <row r="122" spans="1:29" x14ac:dyDescent="0.3">
      <c r="A122" s="63"/>
      <c r="B122" s="53"/>
      <c r="C122" s="33" t="s">
        <v>170</v>
      </c>
      <c r="D122" s="33"/>
      <c r="E122" s="42" t="s">
        <v>60</v>
      </c>
      <c r="F122" s="42"/>
      <c r="G122" s="5">
        <v>4</v>
      </c>
      <c r="H122" s="5"/>
      <c r="I122" s="5">
        <v>4</v>
      </c>
      <c r="J122" s="5">
        <v>4</v>
      </c>
      <c r="K122" s="5">
        <v>4</v>
      </c>
      <c r="L122" s="5">
        <v>4</v>
      </c>
      <c r="M122" s="5">
        <v>4</v>
      </c>
      <c r="N122" s="5">
        <v>4</v>
      </c>
      <c r="O122" s="5">
        <v>4</v>
      </c>
      <c r="P122" s="5">
        <v>4</v>
      </c>
      <c r="Q122" s="5">
        <v>4</v>
      </c>
      <c r="R122" s="5">
        <v>4</v>
      </c>
      <c r="S122" s="5">
        <v>4</v>
      </c>
      <c r="T122" s="5">
        <v>3</v>
      </c>
      <c r="U122" s="5">
        <v>3</v>
      </c>
      <c r="V122" s="5">
        <v>3</v>
      </c>
      <c r="W122" s="5">
        <v>3</v>
      </c>
      <c r="X122" s="5">
        <v>3</v>
      </c>
      <c r="Y122" s="5">
        <v>3</v>
      </c>
      <c r="Z122" s="5">
        <v>2</v>
      </c>
      <c r="AA122" s="5">
        <v>1</v>
      </c>
      <c r="AB122" s="3">
        <v>0</v>
      </c>
      <c r="AC122" s="5">
        <v>0</v>
      </c>
    </row>
    <row r="123" spans="1:29" x14ac:dyDescent="0.3">
      <c r="A123" s="63"/>
      <c r="B123" s="53"/>
      <c r="C123" s="34" t="s">
        <v>171</v>
      </c>
      <c r="D123" s="35"/>
      <c r="E123" s="42" t="s">
        <v>62</v>
      </c>
      <c r="F123" s="42"/>
      <c r="G123" s="5">
        <v>4</v>
      </c>
      <c r="H123" s="5"/>
      <c r="I123" s="5">
        <v>4</v>
      </c>
      <c r="J123" s="5">
        <v>4</v>
      </c>
      <c r="K123" s="5">
        <v>4</v>
      </c>
      <c r="L123" s="5">
        <v>4</v>
      </c>
      <c r="M123" s="5">
        <v>4</v>
      </c>
      <c r="N123" s="5">
        <v>4</v>
      </c>
      <c r="O123" s="5">
        <v>4</v>
      </c>
      <c r="P123" s="5">
        <v>4</v>
      </c>
      <c r="Q123" s="5">
        <v>4</v>
      </c>
      <c r="R123" s="5">
        <v>4</v>
      </c>
      <c r="S123" s="5">
        <v>4</v>
      </c>
      <c r="T123" s="5">
        <v>4</v>
      </c>
      <c r="U123" s="5">
        <v>4</v>
      </c>
      <c r="V123" s="5">
        <v>4</v>
      </c>
      <c r="W123" s="5">
        <v>4</v>
      </c>
      <c r="X123" s="5">
        <v>4</v>
      </c>
      <c r="Y123" s="5">
        <v>3</v>
      </c>
      <c r="Z123" s="5">
        <v>2</v>
      </c>
      <c r="AA123" s="5">
        <v>1</v>
      </c>
      <c r="AB123" s="3">
        <v>0</v>
      </c>
      <c r="AC123" s="5">
        <v>0</v>
      </c>
    </row>
    <row r="124" spans="1:29" x14ac:dyDescent="0.3">
      <c r="A124" s="63"/>
      <c r="B124" s="63" t="s">
        <v>43</v>
      </c>
      <c r="C124" s="33" t="s">
        <v>47</v>
      </c>
      <c r="D124" s="33"/>
      <c r="E124" s="77" t="s">
        <v>34</v>
      </c>
      <c r="F124" s="77"/>
      <c r="G124" s="5">
        <v>10</v>
      </c>
      <c r="H124" s="5"/>
      <c r="I124" s="5">
        <v>10</v>
      </c>
      <c r="J124" s="5">
        <v>10</v>
      </c>
      <c r="K124" s="5">
        <v>10</v>
      </c>
      <c r="L124" s="5">
        <v>10</v>
      </c>
      <c r="M124" s="5">
        <v>10</v>
      </c>
      <c r="N124" s="5">
        <v>10</v>
      </c>
      <c r="O124" s="5">
        <v>10</v>
      </c>
      <c r="P124" s="5">
        <v>10</v>
      </c>
      <c r="Q124" s="5">
        <v>10</v>
      </c>
      <c r="R124" s="5">
        <v>10</v>
      </c>
      <c r="S124" s="5">
        <v>10</v>
      </c>
      <c r="T124" s="5">
        <v>10</v>
      </c>
      <c r="U124" s="5">
        <v>10</v>
      </c>
      <c r="V124" s="5">
        <v>10</v>
      </c>
      <c r="W124" s="5">
        <v>10</v>
      </c>
      <c r="X124" s="5">
        <v>10</v>
      </c>
      <c r="Y124" s="5">
        <v>8</v>
      </c>
      <c r="Z124" s="5">
        <v>6</v>
      </c>
      <c r="AA124" s="5">
        <v>4</v>
      </c>
      <c r="AB124" s="5">
        <v>2</v>
      </c>
      <c r="AC124" s="6">
        <v>0</v>
      </c>
    </row>
    <row r="125" spans="1:29" x14ac:dyDescent="0.3">
      <c r="A125" s="63"/>
      <c r="B125" s="63"/>
      <c r="C125" s="33" t="s">
        <v>48</v>
      </c>
      <c r="D125" s="33"/>
      <c r="E125" s="77" t="s">
        <v>34</v>
      </c>
      <c r="F125" s="77"/>
      <c r="G125" s="5">
        <v>10</v>
      </c>
      <c r="H125" s="5"/>
      <c r="I125" s="5">
        <v>10</v>
      </c>
      <c r="J125" s="5">
        <v>10</v>
      </c>
      <c r="K125" s="5">
        <v>10</v>
      </c>
      <c r="L125" s="5">
        <v>10</v>
      </c>
      <c r="M125" s="5">
        <v>10</v>
      </c>
      <c r="N125" s="5">
        <v>10</v>
      </c>
      <c r="O125" s="5">
        <v>10</v>
      </c>
      <c r="P125" s="5">
        <v>10</v>
      </c>
      <c r="Q125" s="5">
        <v>10</v>
      </c>
      <c r="R125" s="5">
        <v>10</v>
      </c>
      <c r="S125" s="5">
        <v>10</v>
      </c>
      <c r="T125" s="5">
        <v>10</v>
      </c>
      <c r="U125" s="5">
        <v>10</v>
      </c>
      <c r="V125" s="5">
        <v>10</v>
      </c>
      <c r="W125" s="5">
        <v>10</v>
      </c>
      <c r="X125" s="5">
        <v>10</v>
      </c>
      <c r="Y125" s="5">
        <v>8</v>
      </c>
      <c r="Z125" s="5">
        <v>6</v>
      </c>
      <c r="AA125" s="5">
        <v>4</v>
      </c>
      <c r="AB125" s="5">
        <v>2</v>
      </c>
      <c r="AC125" s="6">
        <v>0</v>
      </c>
    </row>
    <row r="126" spans="1:29" x14ac:dyDescent="0.3">
      <c r="A126" s="63"/>
      <c r="B126" s="59" t="s">
        <v>13</v>
      </c>
      <c r="C126" s="59"/>
      <c r="D126" s="59"/>
      <c r="E126" s="66" t="s">
        <v>11</v>
      </c>
      <c r="F126" s="66"/>
      <c r="G126" s="66">
        <f>SUM(G71:G125)</f>
        <v>263</v>
      </c>
      <c r="H126" s="66"/>
      <c r="I126" s="4">
        <f t="shared" ref="I126:AB126" si="3">SUM(I71:I125)</f>
        <v>249</v>
      </c>
      <c r="J126" s="4">
        <f t="shared" si="3"/>
        <v>238</v>
      </c>
      <c r="K126" s="4">
        <f t="shared" si="3"/>
        <v>223</v>
      </c>
      <c r="L126" s="4">
        <f t="shared" si="3"/>
        <v>211</v>
      </c>
      <c r="M126" s="4">
        <f t="shared" si="3"/>
        <v>202</v>
      </c>
      <c r="N126" s="4">
        <f t="shared" si="3"/>
        <v>187</v>
      </c>
      <c r="O126" s="4">
        <f t="shared" si="3"/>
        <v>182</v>
      </c>
      <c r="P126" s="4">
        <f t="shared" si="3"/>
        <v>169</v>
      </c>
      <c r="Q126" s="4">
        <f t="shared" si="3"/>
        <v>157</v>
      </c>
      <c r="R126" s="4">
        <f t="shared" si="3"/>
        <v>138</v>
      </c>
      <c r="S126" s="4">
        <f t="shared" si="3"/>
        <v>119</v>
      </c>
      <c r="T126" s="4">
        <f t="shared" si="3"/>
        <v>103</v>
      </c>
      <c r="U126" s="4">
        <f t="shared" si="3"/>
        <v>94</v>
      </c>
      <c r="V126" s="4">
        <f t="shared" si="3"/>
        <v>85</v>
      </c>
      <c r="W126" s="4">
        <f t="shared" si="3"/>
        <v>75</v>
      </c>
      <c r="X126" s="4">
        <f t="shared" si="3"/>
        <v>66</v>
      </c>
      <c r="Y126" s="4">
        <f t="shared" si="3"/>
        <v>51</v>
      </c>
      <c r="Z126" s="4">
        <f t="shared" si="3"/>
        <v>32</v>
      </c>
      <c r="AA126" s="4">
        <f t="shared" si="3"/>
        <v>13</v>
      </c>
      <c r="AB126" s="4">
        <f t="shared" si="3"/>
        <v>4</v>
      </c>
    </row>
    <row r="127" spans="1:29" x14ac:dyDescent="0.3">
      <c r="A127" s="63"/>
      <c r="B127" s="59"/>
      <c r="C127" s="59"/>
      <c r="D127" s="59"/>
      <c r="E127" s="66" t="s">
        <v>12</v>
      </c>
      <c r="F127" s="66"/>
      <c r="G127" s="66"/>
      <c r="H127" s="6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31" spans="7:28" ht="47.4" customHeight="1" x14ac:dyDescent="0.3">
      <c r="G131" s="42"/>
      <c r="H131" s="42"/>
      <c r="I131" s="19">
        <v>45768</v>
      </c>
      <c r="J131" s="19">
        <v>45769</v>
      </c>
      <c r="K131" s="19">
        <v>45770</v>
      </c>
      <c r="L131" s="19">
        <v>45771</v>
      </c>
      <c r="M131" s="19">
        <v>45772</v>
      </c>
      <c r="N131" s="19">
        <v>45773</v>
      </c>
      <c r="O131" s="19">
        <v>45774</v>
      </c>
      <c r="P131" s="19">
        <v>45775</v>
      </c>
      <c r="Q131" s="19">
        <v>45776</v>
      </c>
      <c r="R131" s="19">
        <v>45777</v>
      </c>
      <c r="S131" s="19">
        <v>45778</v>
      </c>
      <c r="T131" s="19">
        <v>45779</v>
      </c>
      <c r="U131" s="19">
        <v>45780</v>
      </c>
      <c r="V131" s="19">
        <v>45781</v>
      </c>
      <c r="W131" s="19">
        <v>45782</v>
      </c>
      <c r="X131" s="19">
        <v>45783</v>
      </c>
      <c r="Y131" s="19">
        <v>45784</v>
      </c>
      <c r="Z131" s="19">
        <v>45785</v>
      </c>
      <c r="AA131" s="19">
        <v>45786</v>
      </c>
      <c r="AB131" s="19">
        <v>45787</v>
      </c>
    </row>
    <row r="132" spans="7:28" x14ac:dyDescent="0.3">
      <c r="G132" s="42" t="s">
        <v>12</v>
      </c>
      <c r="H132" s="42"/>
      <c r="I132" s="16">
        <f t="shared" ref="I132:AB132" si="4">SUM(I16:I63)</f>
        <v>253</v>
      </c>
      <c r="J132" s="16">
        <f t="shared" si="4"/>
        <v>248</v>
      </c>
      <c r="K132" s="16">
        <f t="shared" si="4"/>
        <v>233</v>
      </c>
      <c r="L132" s="16">
        <f t="shared" si="4"/>
        <v>216</v>
      </c>
      <c r="M132" s="16">
        <f t="shared" si="4"/>
        <v>204</v>
      </c>
      <c r="N132" s="16">
        <f t="shared" si="4"/>
        <v>194</v>
      </c>
      <c r="O132" s="16">
        <f t="shared" si="4"/>
        <v>189</v>
      </c>
      <c r="P132" s="16">
        <f t="shared" si="4"/>
        <v>181</v>
      </c>
      <c r="Q132" s="16">
        <f t="shared" si="4"/>
        <v>177</v>
      </c>
      <c r="R132" s="16">
        <f t="shared" si="4"/>
        <v>153</v>
      </c>
      <c r="S132" s="16">
        <f t="shared" si="4"/>
        <v>139</v>
      </c>
      <c r="T132" s="16">
        <f t="shared" si="4"/>
        <v>123</v>
      </c>
      <c r="U132" s="16">
        <f t="shared" si="4"/>
        <v>107</v>
      </c>
      <c r="V132" s="16">
        <f t="shared" si="4"/>
        <v>95</v>
      </c>
      <c r="W132" s="16">
        <f t="shared" si="4"/>
        <v>80</v>
      </c>
      <c r="X132" s="16">
        <f t="shared" si="4"/>
        <v>72</v>
      </c>
      <c r="Y132" s="16">
        <f t="shared" si="4"/>
        <v>60</v>
      </c>
      <c r="Z132" s="16">
        <f t="shared" si="4"/>
        <v>37</v>
      </c>
      <c r="AA132" s="16">
        <f t="shared" si="4"/>
        <v>14</v>
      </c>
      <c r="AB132" s="16">
        <f t="shared" si="4"/>
        <v>4</v>
      </c>
    </row>
    <row r="133" spans="7:28" x14ac:dyDescent="0.3">
      <c r="G133" s="42" t="s">
        <v>11</v>
      </c>
      <c r="H133" s="42"/>
      <c r="I133" s="16">
        <f t="shared" ref="I133:AB133" si="5">SUM(I71:I125)</f>
        <v>249</v>
      </c>
      <c r="J133" s="16">
        <f t="shared" si="5"/>
        <v>238</v>
      </c>
      <c r="K133" s="16">
        <f t="shared" si="5"/>
        <v>223</v>
      </c>
      <c r="L133" s="16">
        <f t="shared" si="5"/>
        <v>211</v>
      </c>
      <c r="M133" s="16">
        <f t="shared" si="5"/>
        <v>202</v>
      </c>
      <c r="N133" s="16">
        <f t="shared" si="5"/>
        <v>187</v>
      </c>
      <c r="O133" s="16">
        <f t="shared" si="5"/>
        <v>182</v>
      </c>
      <c r="P133" s="16">
        <f t="shared" si="5"/>
        <v>169</v>
      </c>
      <c r="Q133" s="16">
        <f t="shared" si="5"/>
        <v>157</v>
      </c>
      <c r="R133" s="16">
        <f t="shared" si="5"/>
        <v>138</v>
      </c>
      <c r="S133" s="16">
        <f t="shared" si="5"/>
        <v>119</v>
      </c>
      <c r="T133" s="16">
        <f t="shared" si="5"/>
        <v>103</v>
      </c>
      <c r="U133" s="16">
        <f t="shared" si="5"/>
        <v>94</v>
      </c>
      <c r="V133" s="16">
        <f t="shared" si="5"/>
        <v>85</v>
      </c>
      <c r="W133" s="16">
        <f t="shared" si="5"/>
        <v>75</v>
      </c>
      <c r="X133" s="16">
        <f t="shared" si="5"/>
        <v>66</v>
      </c>
      <c r="Y133" s="16">
        <f t="shared" si="5"/>
        <v>51</v>
      </c>
      <c r="Z133" s="16">
        <f t="shared" si="5"/>
        <v>32</v>
      </c>
      <c r="AA133" s="16">
        <f t="shared" si="5"/>
        <v>13</v>
      </c>
      <c r="AB133" s="16">
        <f t="shared" si="5"/>
        <v>4</v>
      </c>
    </row>
  </sheetData>
  <mergeCells count="252">
    <mergeCell ref="G132:H132"/>
    <mergeCell ref="G133:H133"/>
    <mergeCell ref="B126:D127"/>
    <mergeCell ref="E126:F126"/>
    <mergeCell ref="G126:H126"/>
    <mergeCell ref="E127:F127"/>
    <mergeCell ref="G127:H127"/>
    <mergeCell ref="G131:H131"/>
    <mergeCell ref="C123:D123"/>
    <mergeCell ref="E123:F123"/>
    <mergeCell ref="B124:B125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E115:F115"/>
    <mergeCell ref="C116:D116"/>
    <mergeCell ref="E116:F116"/>
    <mergeCell ref="C117:D117"/>
    <mergeCell ref="E117:F117"/>
    <mergeCell ref="B118:B123"/>
    <mergeCell ref="C118:D118"/>
    <mergeCell ref="E118:F118"/>
    <mergeCell ref="C119:D119"/>
    <mergeCell ref="E119:F119"/>
    <mergeCell ref="B111:B117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07:F107"/>
    <mergeCell ref="C108:D108"/>
    <mergeCell ref="E108:F108"/>
    <mergeCell ref="C109:D109"/>
    <mergeCell ref="E109:F109"/>
    <mergeCell ref="C110:D110"/>
    <mergeCell ref="E110:F110"/>
    <mergeCell ref="C103:D103"/>
    <mergeCell ref="E103:F103"/>
    <mergeCell ref="B104:B110"/>
    <mergeCell ref="C104:D104"/>
    <mergeCell ref="E104:F104"/>
    <mergeCell ref="C105:D105"/>
    <mergeCell ref="E105:F105"/>
    <mergeCell ref="C106:D106"/>
    <mergeCell ref="E106:F106"/>
    <mergeCell ref="C107:D107"/>
    <mergeCell ref="E99:F99"/>
    <mergeCell ref="C100:D100"/>
    <mergeCell ref="E100:F100"/>
    <mergeCell ref="C101:D101"/>
    <mergeCell ref="E101:F101"/>
    <mergeCell ref="C102:D102"/>
    <mergeCell ref="E102:F102"/>
    <mergeCell ref="B95:B103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1:F91"/>
    <mergeCell ref="C92:D92"/>
    <mergeCell ref="E92:F92"/>
    <mergeCell ref="C93:D93"/>
    <mergeCell ref="E93:F93"/>
    <mergeCell ref="C94:D94"/>
    <mergeCell ref="E94:F94"/>
    <mergeCell ref="C87:D87"/>
    <mergeCell ref="E87:F87"/>
    <mergeCell ref="B88:B94"/>
    <mergeCell ref="C88:D88"/>
    <mergeCell ref="E88:F88"/>
    <mergeCell ref="C89:D89"/>
    <mergeCell ref="E89:F89"/>
    <mergeCell ref="C90:D90"/>
    <mergeCell ref="E90:F90"/>
    <mergeCell ref="C91:D91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E77:F77"/>
    <mergeCell ref="C78:D78"/>
    <mergeCell ref="E78:F78"/>
    <mergeCell ref="C79:D79"/>
    <mergeCell ref="E79:F79"/>
    <mergeCell ref="C80:D80"/>
    <mergeCell ref="E80:F80"/>
    <mergeCell ref="B73:D73"/>
    <mergeCell ref="E73:F73"/>
    <mergeCell ref="B74:D74"/>
    <mergeCell ref="E74:F74"/>
    <mergeCell ref="B75:B87"/>
    <mergeCell ref="C75:D75"/>
    <mergeCell ref="E75:F75"/>
    <mergeCell ref="C76:D76"/>
    <mergeCell ref="E76:F76"/>
    <mergeCell ref="C77:D77"/>
    <mergeCell ref="G64:H64"/>
    <mergeCell ref="E65:F65"/>
    <mergeCell ref="G65:H65"/>
    <mergeCell ref="C70:D70"/>
    <mergeCell ref="E70:F70"/>
    <mergeCell ref="A71:A127"/>
    <mergeCell ref="B71:D71"/>
    <mergeCell ref="E71:F71"/>
    <mergeCell ref="B72:D72"/>
    <mergeCell ref="E72:F72"/>
    <mergeCell ref="B62:B63"/>
    <mergeCell ref="C62:D62"/>
    <mergeCell ref="E62:F62"/>
    <mergeCell ref="C63:D63"/>
    <mergeCell ref="E63:F63"/>
    <mergeCell ref="B64:D65"/>
    <mergeCell ref="E64:F64"/>
    <mergeCell ref="C59:D59"/>
    <mergeCell ref="E59:F59"/>
    <mergeCell ref="C60:D60"/>
    <mergeCell ref="E60:F60"/>
    <mergeCell ref="C61:D61"/>
    <mergeCell ref="E61:F61"/>
    <mergeCell ref="E54:F54"/>
    <mergeCell ref="C55:D55"/>
    <mergeCell ref="E55:F55"/>
    <mergeCell ref="B56:B61"/>
    <mergeCell ref="C56:D56"/>
    <mergeCell ref="E56:F56"/>
    <mergeCell ref="C57:D57"/>
    <mergeCell ref="E57:F57"/>
    <mergeCell ref="C58:D58"/>
    <mergeCell ref="E58:F58"/>
    <mergeCell ref="B50:B55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46:F46"/>
    <mergeCell ref="C47:D47"/>
    <mergeCell ref="E47:F47"/>
    <mergeCell ref="C48:D48"/>
    <mergeCell ref="E48:F48"/>
    <mergeCell ref="C49:D49"/>
    <mergeCell ref="E49:F49"/>
    <mergeCell ref="C42:D42"/>
    <mergeCell ref="E42:F42"/>
    <mergeCell ref="C43:D43"/>
    <mergeCell ref="E43:F43"/>
    <mergeCell ref="B44:B49"/>
    <mergeCell ref="C44:D44"/>
    <mergeCell ref="E44:F44"/>
    <mergeCell ref="C45:D45"/>
    <mergeCell ref="E45:F45"/>
    <mergeCell ref="C46:D46"/>
    <mergeCell ref="C39:D39"/>
    <mergeCell ref="E39:F39"/>
    <mergeCell ref="C40:D40"/>
    <mergeCell ref="E40:F40"/>
    <mergeCell ref="C41:D41"/>
    <mergeCell ref="E41:F41"/>
    <mergeCell ref="E34:F34"/>
    <mergeCell ref="C35:D35"/>
    <mergeCell ref="E35:F35"/>
    <mergeCell ref="C36:D36"/>
    <mergeCell ref="E36:F36"/>
    <mergeCell ref="B37:B43"/>
    <mergeCell ref="C37:D37"/>
    <mergeCell ref="E37:F37"/>
    <mergeCell ref="C38:D38"/>
    <mergeCell ref="E38:F38"/>
    <mergeCell ref="C30:D30"/>
    <mergeCell ref="E30:F30"/>
    <mergeCell ref="B31:B36"/>
    <mergeCell ref="C31:D31"/>
    <mergeCell ref="E31:F31"/>
    <mergeCell ref="C32:D32"/>
    <mergeCell ref="E32:F32"/>
    <mergeCell ref="C33:D33"/>
    <mergeCell ref="E33:F33"/>
    <mergeCell ref="C34:D34"/>
    <mergeCell ref="C27:D27"/>
    <mergeCell ref="E27:F27"/>
    <mergeCell ref="C28:D28"/>
    <mergeCell ref="E28:F28"/>
    <mergeCell ref="C29:D29"/>
    <mergeCell ref="E29:F29"/>
    <mergeCell ref="E23:F23"/>
    <mergeCell ref="C24:D24"/>
    <mergeCell ref="E24:F24"/>
    <mergeCell ref="C25:D25"/>
    <mergeCell ref="E25:F25"/>
    <mergeCell ref="C26:D26"/>
    <mergeCell ref="E26:F26"/>
    <mergeCell ref="B19:D19"/>
    <mergeCell ref="E19:F19"/>
    <mergeCell ref="B20:B30"/>
    <mergeCell ref="C20:D20"/>
    <mergeCell ref="E20:F20"/>
    <mergeCell ref="C21:D21"/>
    <mergeCell ref="E21:F21"/>
    <mergeCell ref="C22:D22"/>
    <mergeCell ref="E22:F22"/>
    <mergeCell ref="C23:D23"/>
    <mergeCell ref="B13:C13"/>
    <mergeCell ref="C15:D15"/>
    <mergeCell ref="E15:F15"/>
    <mergeCell ref="A16:A65"/>
    <mergeCell ref="B16:D16"/>
    <mergeCell ref="E16:F16"/>
    <mergeCell ref="B17:D17"/>
    <mergeCell ref="E17:F17"/>
    <mergeCell ref="B18:D18"/>
    <mergeCell ref="E18:F18"/>
    <mergeCell ref="A3:B3"/>
    <mergeCell ref="C3:F3"/>
    <mergeCell ref="O3:Q3"/>
    <mergeCell ref="A4:B4"/>
    <mergeCell ref="C4:F4"/>
    <mergeCell ref="B6:E6"/>
    <mergeCell ref="A1:B1"/>
    <mergeCell ref="C1:F1"/>
    <mergeCell ref="O1:Q1"/>
    <mergeCell ref="A2:B2"/>
    <mergeCell ref="C2:F2"/>
    <mergeCell ref="O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6FHTLG3</dc:creator>
  <cp:lastModifiedBy>Ngọc Trung</cp:lastModifiedBy>
  <dcterms:created xsi:type="dcterms:W3CDTF">2025-05-03T14:51:27Z</dcterms:created>
  <dcterms:modified xsi:type="dcterms:W3CDTF">2026-05-09T03:28:10Z</dcterms:modified>
</cp:coreProperties>
</file>